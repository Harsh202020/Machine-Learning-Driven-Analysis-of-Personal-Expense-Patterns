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ersonal\Expenses\"/>
    </mc:Choice>
  </mc:AlternateContent>
  <xr:revisionPtr revIDLastSave="0" documentId="13_ncr:1_{7D77C1F5-92C6-43AE-A61B-417D8A0FC77D}" xr6:coauthVersionLast="47" xr6:coauthVersionMax="47" xr10:uidLastSave="{00000000-0000-0000-0000-000000000000}"/>
  <bookViews>
    <workbookView xWindow="11424" yWindow="0" windowWidth="11712" windowHeight="12336" firstSheet="23" activeTab="23" xr2:uid="{00000000-000D-0000-FFFF-FFFF00000000}"/>
  </bookViews>
  <sheets>
    <sheet name="Feb2024" sheetId="1" r:id="rId1"/>
    <sheet name="March2024" sheetId="2" r:id="rId2"/>
    <sheet name="April 2024" sheetId="6" r:id="rId3"/>
    <sheet name="May 2024" sheetId="8" r:id="rId4"/>
    <sheet name="June 2024" sheetId="9" r:id="rId5"/>
    <sheet name="July 2024" sheetId="7" r:id="rId6"/>
    <sheet name="August 2024 " sheetId="11" r:id="rId7"/>
    <sheet name="Sep 2024" sheetId="14" r:id="rId8"/>
    <sheet name="Oct 2024 " sheetId="16" r:id="rId9"/>
    <sheet name="Nov 2024" sheetId="17" r:id="rId10"/>
    <sheet name="Dec 2024" sheetId="19" r:id="rId11"/>
    <sheet name="Jan 2025" sheetId="20" r:id="rId12"/>
    <sheet name="Feb 2025" sheetId="22" r:id="rId13"/>
    <sheet name="March 2025" sheetId="24" r:id="rId14"/>
    <sheet name="April 2025 " sheetId="25" r:id="rId15"/>
    <sheet name="May 2025  " sheetId="26" r:id="rId16"/>
    <sheet name="June 2025" sheetId="28" r:id="rId17"/>
    <sheet name="July 2025" sheetId="27" r:id="rId18"/>
    <sheet name="Aug 2025" sheetId="29" r:id="rId19"/>
    <sheet name="Sep 2025" sheetId="31" r:id="rId20"/>
    <sheet name="Oct 2025" sheetId="32" r:id="rId21"/>
    <sheet name="Nov 2025" sheetId="33" r:id="rId22"/>
    <sheet name="Dec 2025" sheetId="34" r:id="rId23"/>
    <sheet name="Au" sheetId="23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3" l="1"/>
  <c r="AF26" i="34"/>
  <c r="AE26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B26" i="34"/>
  <c r="AG23" i="34"/>
  <c r="AG21" i="34"/>
  <c r="AG19" i="34"/>
  <c r="AG17" i="34"/>
  <c r="AG15" i="34"/>
  <c r="AG13" i="34"/>
  <c r="AG11" i="34"/>
  <c r="AG9" i="34"/>
  <c r="AG7" i="34"/>
  <c r="AG5" i="34"/>
  <c r="AF26" i="33"/>
  <c r="AE26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AG23" i="33"/>
  <c r="AG21" i="33"/>
  <c r="AG19" i="33"/>
  <c r="AG17" i="33"/>
  <c r="AG15" i="33"/>
  <c r="AG13" i="33"/>
  <c r="AG11" i="33"/>
  <c r="AG9" i="33"/>
  <c r="AG7" i="33"/>
  <c r="AG5" i="33"/>
  <c r="C26" i="32"/>
  <c r="C26" i="31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B26" i="32"/>
  <c r="AG23" i="32"/>
  <c r="AG21" i="32"/>
  <c r="AG19" i="32"/>
  <c r="AG17" i="32"/>
  <c r="AG15" i="32"/>
  <c r="AG13" i="32"/>
  <c r="AG11" i="32"/>
  <c r="AG9" i="32"/>
  <c r="AG7" i="32"/>
  <c r="AG5" i="32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AG23" i="31"/>
  <c r="AG21" i="31"/>
  <c r="AG19" i="31"/>
  <c r="AG17" i="31"/>
  <c r="AG15" i="31"/>
  <c r="AG13" i="31"/>
  <c r="AG11" i="31"/>
  <c r="AG9" i="31"/>
  <c r="AG7" i="31"/>
  <c r="AG5" i="31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B26" i="29"/>
  <c r="AG23" i="29"/>
  <c r="AG21" i="29"/>
  <c r="AG19" i="29"/>
  <c r="AG17" i="29"/>
  <c r="AG15" i="29"/>
  <c r="AG13" i="29"/>
  <c r="AG11" i="29"/>
  <c r="AG9" i="29"/>
  <c r="AG7" i="29"/>
  <c r="AG5" i="29"/>
  <c r="AF26" i="28"/>
  <c r="AE26" i="28"/>
  <c r="AD26" i="28"/>
  <c r="AC26" i="28"/>
  <c r="AB26" i="28"/>
  <c r="AA26" i="28"/>
  <c r="Z26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B26" i="28"/>
  <c r="AG23" i="28"/>
  <c r="AG21" i="28"/>
  <c r="AG19" i="28"/>
  <c r="AG17" i="28"/>
  <c r="AG15" i="28"/>
  <c r="AG13" i="28"/>
  <c r="AG11" i="28"/>
  <c r="AG9" i="28"/>
  <c r="AG7" i="28"/>
  <c r="AG5" i="28"/>
  <c r="AF26" i="27"/>
  <c r="AE26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B26" i="27"/>
  <c r="AG23" i="27"/>
  <c r="AG21" i="27"/>
  <c r="AG19" i="27"/>
  <c r="AG17" i="27"/>
  <c r="AG15" i="27"/>
  <c r="AG13" i="27"/>
  <c r="AG11" i="27"/>
  <c r="AG9" i="27"/>
  <c r="AG7" i="27"/>
  <c r="AG5" i="27"/>
  <c r="AF26" i="26"/>
  <c r="AE26" i="26"/>
  <c r="AD26" i="26"/>
  <c r="AC26" i="26"/>
  <c r="AB26" i="26"/>
  <c r="AA26" i="26"/>
  <c r="Z26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B26" i="26"/>
  <c r="AG23" i="26"/>
  <c r="AG21" i="26"/>
  <c r="AG19" i="26"/>
  <c r="AG17" i="26"/>
  <c r="AG15" i="26"/>
  <c r="AG13" i="26"/>
  <c r="AG11" i="26"/>
  <c r="AG9" i="26"/>
  <c r="AG7" i="26"/>
  <c r="AG5" i="26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B26" i="25"/>
  <c r="AG23" i="25"/>
  <c r="AG21" i="25"/>
  <c r="AG19" i="25"/>
  <c r="AG17" i="25"/>
  <c r="AG15" i="25"/>
  <c r="AG13" i="25"/>
  <c r="AG11" i="25"/>
  <c r="AG9" i="25"/>
  <c r="AG7" i="25"/>
  <c r="AG5" i="25"/>
  <c r="B26" i="24"/>
  <c r="D26" i="24"/>
  <c r="E26" i="24"/>
  <c r="F26" i="24"/>
  <c r="G26" i="24"/>
  <c r="H26" i="24"/>
  <c r="I26" i="24"/>
  <c r="J26" i="24"/>
  <c r="K26" i="24"/>
  <c r="L26" i="24"/>
  <c r="M26" i="24"/>
  <c r="N26" i="24"/>
  <c r="O26" i="24"/>
  <c r="P26" i="24"/>
  <c r="Q26" i="24"/>
  <c r="R26" i="24"/>
  <c r="S26" i="24"/>
  <c r="T26" i="24"/>
  <c r="U26" i="24"/>
  <c r="V26" i="24"/>
  <c r="W26" i="24"/>
  <c r="X26" i="24"/>
  <c r="Y26" i="24"/>
  <c r="Z26" i="24"/>
  <c r="AA26" i="24"/>
  <c r="AB26" i="24"/>
  <c r="AC26" i="24"/>
  <c r="AD26" i="24"/>
  <c r="AE26" i="24"/>
  <c r="AF26" i="24"/>
  <c r="AG5" i="24"/>
  <c r="AG7" i="24"/>
  <c r="AG9" i="24"/>
  <c r="AG11" i="24"/>
  <c r="AG13" i="24"/>
  <c r="AG15" i="24"/>
  <c r="AG17" i="24"/>
  <c r="AG19" i="24"/>
  <c r="AG21" i="24"/>
  <c r="AG23" i="24"/>
  <c r="AF26" i="22"/>
  <c r="AE26" i="22"/>
  <c r="AD26" i="22"/>
  <c r="AC26" i="22"/>
  <c r="AB26" i="22"/>
  <c r="AA26" i="22"/>
  <c r="Z26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D26" i="22"/>
  <c r="B26" i="22"/>
  <c r="AG23" i="22"/>
  <c r="AG21" i="22"/>
  <c r="AG19" i="22"/>
  <c r="AG17" i="22"/>
  <c r="AG15" i="22"/>
  <c r="AG13" i="22"/>
  <c r="AG11" i="22"/>
  <c r="AG9" i="22"/>
  <c r="AG7" i="22"/>
  <c r="AG5" i="22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AG23" i="20"/>
  <c r="AG21" i="20"/>
  <c r="AG19" i="20"/>
  <c r="AG17" i="20"/>
  <c r="AG15" i="20"/>
  <c r="AG13" i="20"/>
  <c r="AG11" i="20"/>
  <c r="AG9" i="20"/>
  <c r="AG7" i="20"/>
  <c r="AG5" i="20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26" i="19"/>
  <c r="AG23" i="19"/>
  <c r="AG21" i="19"/>
  <c r="AG19" i="19"/>
  <c r="AG17" i="19"/>
  <c r="AG15" i="19"/>
  <c r="AG13" i="19"/>
  <c r="AG11" i="19"/>
  <c r="AG9" i="19"/>
  <c r="AG7" i="19"/>
  <c r="AG5" i="19"/>
  <c r="AG26" i="19" s="1"/>
  <c r="AF26" i="17"/>
  <c r="AE26" i="17"/>
  <c r="AD26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G23" i="17"/>
  <c r="AG21" i="17"/>
  <c r="AG19" i="17"/>
  <c r="AG17" i="17"/>
  <c r="AG15" i="17"/>
  <c r="AG13" i="17"/>
  <c r="AG11" i="17"/>
  <c r="AG9" i="17"/>
  <c r="AG7" i="17"/>
  <c r="AG5" i="17"/>
  <c r="AG26" i="17" s="1"/>
  <c r="AF26" i="16"/>
  <c r="AE26" i="16"/>
  <c r="AD26" i="16"/>
  <c r="AC26" i="16"/>
  <c r="AB26" i="16"/>
  <c r="AA26" i="16"/>
  <c r="Z26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AG23" i="16"/>
  <c r="AG21" i="16"/>
  <c r="AG19" i="16"/>
  <c r="AG17" i="16"/>
  <c r="AG15" i="16"/>
  <c r="AG13" i="16"/>
  <c r="AG11" i="16"/>
  <c r="AG9" i="16"/>
  <c r="AG7" i="16"/>
  <c r="AG5" i="16"/>
  <c r="AG26" i="16" s="1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G23" i="14"/>
  <c r="AG21" i="14"/>
  <c r="AG19" i="14"/>
  <c r="AG17" i="14"/>
  <c r="AG15" i="14"/>
  <c r="AG13" i="14"/>
  <c r="AG11" i="14"/>
  <c r="AG9" i="14"/>
  <c r="AG7" i="14"/>
  <c r="AG5" i="14"/>
  <c r="AG26" i="14" s="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G23" i="11"/>
  <c r="AG21" i="11"/>
  <c r="AG19" i="11"/>
  <c r="AG17" i="11"/>
  <c r="AG15" i="11"/>
  <c r="AG13" i="11"/>
  <c r="AG11" i="11"/>
  <c r="AG9" i="11"/>
  <c r="AG7" i="11"/>
  <c r="AG5" i="11"/>
  <c r="AG26" i="11" s="1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G23" i="9"/>
  <c r="AG21" i="9"/>
  <c r="AG19" i="9"/>
  <c r="AG17" i="9"/>
  <c r="AG15" i="9"/>
  <c r="AG13" i="9"/>
  <c r="AG11" i="9"/>
  <c r="AG9" i="9"/>
  <c r="AG7" i="9"/>
  <c r="AG5" i="9"/>
  <c r="AG26" i="9" s="1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G23" i="8"/>
  <c r="AG21" i="8"/>
  <c r="AG19" i="8"/>
  <c r="AG17" i="8"/>
  <c r="AG15" i="8"/>
  <c r="AG13" i="8"/>
  <c r="AG11" i="8"/>
  <c r="AG9" i="8"/>
  <c r="AG7" i="8"/>
  <c r="AG5" i="8"/>
  <c r="AG26" i="8" s="1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G23" i="7"/>
  <c r="AG21" i="7"/>
  <c r="AG19" i="7"/>
  <c r="AG17" i="7"/>
  <c r="AG15" i="7"/>
  <c r="AG13" i="7"/>
  <c r="AG11" i="7"/>
  <c r="AG9" i="7"/>
  <c r="AG7" i="7"/>
  <c r="AG5" i="7"/>
  <c r="AG26" i="7" s="1"/>
  <c r="AG15" i="6"/>
  <c r="AG17" i="6"/>
  <c r="AG19" i="6"/>
  <c r="AG21" i="6"/>
  <c r="AG23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E26" i="6"/>
  <c r="D26" i="6"/>
  <c r="C26" i="6"/>
  <c r="B26" i="6"/>
  <c r="AG13" i="6"/>
  <c r="AG11" i="6"/>
  <c r="AG9" i="6"/>
  <c r="AG7" i="6"/>
  <c r="AG5" i="6"/>
  <c r="AG26" i="6" s="1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G23" i="2"/>
  <c r="AG21" i="2"/>
  <c r="AG19" i="2"/>
  <c r="AG17" i="2"/>
  <c r="AG15" i="2"/>
  <c r="AG13" i="2"/>
  <c r="AG11" i="2"/>
  <c r="AG9" i="2"/>
  <c r="AG7" i="2"/>
  <c r="AG5" i="2"/>
  <c r="AG26" i="2" s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G23" i="1"/>
  <c r="AG21" i="1"/>
  <c r="AG19" i="1"/>
  <c r="AG17" i="1"/>
  <c r="AG15" i="1"/>
  <c r="AG13" i="1"/>
  <c r="AG11" i="1"/>
  <c r="AG9" i="1"/>
  <c r="AG7" i="1"/>
  <c r="AG5" i="1"/>
  <c r="AG26" i="1"/>
  <c r="AG26" i="34" l="1"/>
  <c r="AG26" i="33"/>
  <c r="AG26" i="32"/>
  <c r="AG26" i="31"/>
  <c r="AG26" i="29"/>
  <c r="AG26" i="28"/>
  <c r="AG26" i="27"/>
  <c r="AG26" i="26"/>
  <c r="AG26" i="25"/>
  <c r="AG26" i="24"/>
  <c r="AG26" i="22"/>
  <c r="AG26" i="20"/>
</calcChain>
</file>

<file path=xl/sharedStrings.xml><?xml version="1.0" encoding="utf-8"?>
<sst xmlns="http://schemas.openxmlformats.org/spreadsheetml/2006/main" count="1902" uniqueCount="912">
  <si>
    <t>MONTHLY EXPENSE SHEET</t>
  </si>
  <si>
    <t>Date</t>
  </si>
  <si>
    <t>Total</t>
  </si>
  <si>
    <t>HEADS</t>
  </si>
  <si>
    <t>Utilities (Electricity, Water)</t>
  </si>
  <si>
    <t>Remarks</t>
  </si>
  <si>
    <t>kherwara light bill</t>
  </si>
  <si>
    <t>PG Fees</t>
  </si>
  <si>
    <t>Mobile Bill</t>
  </si>
  <si>
    <t>surf exel</t>
  </si>
  <si>
    <t>rapido</t>
  </si>
  <si>
    <t>ahmdabad to ghandinagar</t>
  </si>
  <si>
    <t>rikshaw</t>
  </si>
  <si>
    <t>repido, rikshaw</t>
  </si>
  <si>
    <t>soap</t>
  </si>
  <si>
    <t>Asssitance (Maid, Cook, Ironing)</t>
  </si>
  <si>
    <t>Transport (Petrol, Tickets)</t>
  </si>
  <si>
    <t>Petrol</t>
  </si>
  <si>
    <t>petrol</t>
  </si>
  <si>
    <t>petrom</t>
  </si>
  <si>
    <t>Uber</t>
  </si>
  <si>
    <t>Groceries</t>
  </si>
  <si>
    <t xml:space="preserve">shipping </t>
  </si>
  <si>
    <t>Dmart</t>
  </si>
  <si>
    <t>Eat Out/Order</t>
  </si>
  <si>
    <t>Tetra</t>
  </si>
  <si>
    <t>Snaks</t>
  </si>
  <si>
    <t>Snaks, cold drink</t>
  </si>
  <si>
    <t>Coffe</t>
  </si>
  <si>
    <t>samosa, cold drink</t>
  </si>
  <si>
    <t xml:space="preserve">ice cream </t>
  </si>
  <si>
    <t>snacks to senior, pepsi</t>
  </si>
  <si>
    <t>pass pass</t>
  </si>
  <si>
    <t>aloo paratha, tetra</t>
  </si>
  <si>
    <t>popcorn, Happydent, fanta</t>
  </si>
  <si>
    <t>coffe, snaks</t>
  </si>
  <si>
    <t>cone</t>
  </si>
  <si>
    <t>bislari</t>
  </si>
  <si>
    <t>Dosa with freinds</t>
  </si>
  <si>
    <t>snaks</t>
  </si>
  <si>
    <t>snaks. coldrink</t>
  </si>
  <si>
    <t>snaks, coldrink</t>
  </si>
  <si>
    <t>hot chocholate</t>
  </si>
  <si>
    <t xml:space="preserve"> ratnami, ching</t>
  </si>
  <si>
    <t>Shopping</t>
  </si>
  <si>
    <t>EGD Eqiup</t>
  </si>
  <si>
    <t>compasse</t>
  </si>
  <si>
    <t>Miscellenous</t>
  </si>
  <si>
    <t>montalukast (medical )</t>
  </si>
  <si>
    <t>vs</t>
  </si>
  <si>
    <t>Others (can be renamed)</t>
  </si>
  <si>
    <t>scotty repair</t>
  </si>
  <si>
    <t>maggie</t>
  </si>
  <si>
    <t xml:space="preserve">service </t>
  </si>
  <si>
    <t>cash</t>
  </si>
  <si>
    <t>Sanks</t>
  </si>
  <si>
    <t>Mseal</t>
  </si>
  <si>
    <t>Total Daily</t>
  </si>
  <si>
    <t>shampoo</t>
  </si>
  <si>
    <t>pg rent</t>
  </si>
  <si>
    <t>hair cut</t>
  </si>
  <si>
    <t>laptop repair</t>
  </si>
  <si>
    <t>bus</t>
  </si>
  <si>
    <t>Repido</t>
  </si>
  <si>
    <t>ahm to ghr</t>
  </si>
  <si>
    <t>Bus ahm to khr</t>
  </si>
  <si>
    <t xml:space="preserve"> petrol</t>
  </si>
  <si>
    <t>KHR TO AHM</t>
  </si>
  <si>
    <t>rapido to collage</t>
  </si>
  <si>
    <t>nirna, surf exel</t>
  </si>
  <si>
    <t xml:space="preserve">surf </t>
  </si>
  <si>
    <t>surf</t>
  </si>
  <si>
    <t>samosa chat, chocobar</t>
  </si>
  <si>
    <t>burger</t>
  </si>
  <si>
    <t>crunchy bar</t>
  </si>
  <si>
    <t>cold drink</t>
  </si>
  <si>
    <t>cone,coke,birole 20</t>
  </si>
  <si>
    <t>icecreme, maggie masala, curd</t>
  </si>
  <si>
    <t>sanks</t>
  </si>
  <si>
    <t>coke, nskes</t>
  </si>
  <si>
    <t>samosa, tetra</t>
  </si>
  <si>
    <t>snake</t>
  </si>
  <si>
    <t>samosa chat, snaks, coldrink</t>
  </si>
  <si>
    <t>samosa, candy</t>
  </si>
  <si>
    <t>fruit</t>
  </si>
  <si>
    <t>snaks to friends</t>
  </si>
  <si>
    <t>singh</t>
  </si>
  <si>
    <t>jeeru</t>
  </si>
  <si>
    <t>coffe, brownie</t>
  </si>
  <si>
    <t>mazza, sanke</t>
  </si>
  <si>
    <t>maggie, chach</t>
  </si>
  <si>
    <t>amul kool, namkeen, angoor, zomato</t>
  </si>
  <si>
    <t>tetra, ice pop</t>
  </si>
  <si>
    <t>samosa</t>
  </si>
  <si>
    <t>snakes, pepesi</t>
  </si>
  <si>
    <t>Puff, pepsi, Snakes</t>
  </si>
  <si>
    <t>jeans</t>
  </si>
  <si>
    <t>Book</t>
  </si>
  <si>
    <t>holi color</t>
  </si>
  <si>
    <t>tire air</t>
  </si>
  <si>
    <t>limka</t>
  </si>
  <si>
    <t>ratnami</t>
  </si>
  <si>
    <t>cash settelment</t>
  </si>
  <si>
    <t>ghr to ahm0</t>
  </si>
  <si>
    <t>dream 11</t>
  </si>
  <si>
    <t>Movie</t>
  </si>
  <si>
    <t>rapido, rikshaw</t>
  </si>
  <si>
    <t>Medicine</t>
  </si>
  <si>
    <t>Montaire Lc</t>
  </si>
  <si>
    <t>Recharge</t>
  </si>
  <si>
    <t>pg light</t>
  </si>
  <si>
    <t>Hair cut</t>
  </si>
  <si>
    <t>GH-AHM</t>
  </si>
  <si>
    <t>repido</t>
  </si>
  <si>
    <t>collage to pg</t>
  </si>
  <si>
    <t>pg - ahm</t>
  </si>
  <si>
    <t>Soap, Detergent</t>
  </si>
  <si>
    <t>toothpast</t>
  </si>
  <si>
    <t>Surf soap</t>
  </si>
  <si>
    <t>ice pop</t>
  </si>
  <si>
    <t>Pepsi, hajmola, kulfi, chataka</t>
  </si>
  <si>
    <t>Vada pav, samosa, coldrink,</t>
  </si>
  <si>
    <t xml:space="preserve">Sanks, popcorn, </t>
  </si>
  <si>
    <t>Chanaa garam, smooth, kurkura</t>
  </si>
  <si>
    <t>smooth, ice pop, samosa</t>
  </si>
  <si>
    <t>snaks for viru, chocobar</t>
  </si>
  <si>
    <t>eat out</t>
  </si>
  <si>
    <t>lassi</t>
  </si>
  <si>
    <t>Snaks, Coldriks</t>
  </si>
  <si>
    <t>Kaccha mango, chuski</t>
  </si>
  <si>
    <t>shopty</t>
  </si>
  <si>
    <t>Dosa, Samosa, Snaks</t>
  </si>
  <si>
    <t>Paneer, Snaks</t>
  </si>
  <si>
    <t>Pizza</t>
  </si>
  <si>
    <t>banana</t>
  </si>
  <si>
    <t>Banana, kharbuha</t>
  </si>
  <si>
    <t>gathiya</t>
  </si>
  <si>
    <t>swiggy insta</t>
  </si>
  <si>
    <t>Swiggy insta</t>
  </si>
  <si>
    <t>swiggy</t>
  </si>
  <si>
    <t>Activity fees</t>
  </si>
  <si>
    <t>project saman</t>
  </si>
  <si>
    <t>print</t>
  </si>
  <si>
    <t>monair lc</t>
  </si>
  <si>
    <t xml:space="preserve">Dentisry </t>
  </si>
  <si>
    <t>Reacharge</t>
  </si>
  <si>
    <t>reacharge my+mom</t>
  </si>
  <si>
    <t>Light bill</t>
  </si>
  <si>
    <t>Electrician</t>
  </si>
  <si>
    <t>Data reachage</t>
  </si>
  <si>
    <t>Ac installer</t>
  </si>
  <si>
    <t>Ahm-Khr</t>
  </si>
  <si>
    <t>milk</t>
  </si>
  <si>
    <t>Fruit, Bread, Snaks</t>
  </si>
  <si>
    <t>dada up</t>
  </si>
  <si>
    <t>Cone+milk</t>
  </si>
  <si>
    <t>vegitable</t>
  </si>
  <si>
    <t>Paneer</t>
  </si>
  <si>
    <t>Ice cream</t>
  </si>
  <si>
    <t>coconut water</t>
  </si>
  <si>
    <t>Paneer veg</t>
  </si>
  <si>
    <t>Snak, kulfi</t>
  </si>
  <si>
    <t>Mancurian</t>
  </si>
  <si>
    <t>Manchurian</t>
  </si>
  <si>
    <t>Vada pav + water</t>
  </si>
  <si>
    <t>National Handloom, Uno</t>
  </si>
  <si>
    <t>Aloo vada</t>
  </si>
  <si>
    <t>Viru cloth, Druja chappal</t>
  </si>
  <si>
    <t>Priya elec</t>
  </si>
  <si>
    <t>Relince Mart</t>
  </si>
  <si>
    <t>sonal didi</t>
  </si>
  <si>
    <t>Water Park</t>
  </si>
  <si>
    <t>Amavsya</t>
  </si>
  <si>
    <t>fees</t>
  </si>
  <si>
    <t>Band Reacharge</t>
  </si>
  <si>
    <t>monta</t>
  </si>
  <si>
    <t>Monatair, Soap</t>
  </si>
  <si>
    <t>Mummy, report+medicine</t>
  </si>
  <si>
    <t>Soap</t>
  </si>
  <si>
    <t>Monatair</t>
  </si>
  <si>
    <t>light bill</t>
  </si>
  <si>
    <t>haircut</t>
  </si>
  <si>
    <t>tailor</t>
  </si>
  <si>
    <t>kiran</t>
  </si>
  <si>
    <t>FLoor maker, Baba, Plumber</t>
  </si>
  <si>
    <t>Fruit</t>
  </si>
  <si>
    <t>choken</t>
  </si>
  <si>
    <t>fruit, paneer, masala, veg</t>
  </si>
  <si>
    <t>Grosry</t>
  </si>
  <si>
    <t>Fruits, veg</t>
  </si>
  <si>
    <t>cucumber</t>
  </si>
  <si>
    <t>Paint material</t>
  </si>
  <si>
    <t>Priya electronics</t>
  </si>
  <si>
    <t>pooja saman</t>
  </si>
  <si>
    <t>Drawer Channel</t>
  </si>
  <si>
    <t>recharge</t>
  </si>
  <si>
    <t>Farm</t>
  </si>
  <si>
    <t>Myfame</t>
  </si>
  <si>
    <t>Gas Stove</t>
  </si>
  <si>
    <t>Replacement</t>
  </si>
  <si>
    <t>Khe-Ahm</t>
  </si>
  <si>
    <t>Pertrol</t>
  </si>
  <si>
    <t>Banana</t>
  </si>
  <si>
    <t>Sabji</t>
  </si>
  <si>
    <t>Jammon</t>
  </si>
  <si>
    <t>Veg</t>
  </si>
  <si>
    <t>Grocry</t>
  </si>
  <si>
    <t>Paneer, Chana</t>
  </si>
  <si>
    <t>Maggie</t>
  </si>
  <si>
    <t>Dosa Khira + Soda</t>
  </si>
  <si>
    <t>Ice Cream</t>
  </si>
  <si>
    <t>Aloo Vada</t>
  </si>
  <si>
    <t xml:space="preserve">Hotal </t>
  </si>
  <si>
    <t>Vadapav</t>
  </si>
  <si>
    <t>Mac Burger</t>
  </si>
  <si>
    <t>Paneer Chili</t>
  </si>
  <si>
    <t>fafda</t>
  </si>
  <si>
    <t>Burger</t>
  </si>
  <si>
    <t>Sandwich, Real, Vdapav, Cone</t>
  </si>
  <si>
    <t>Manchu+snak</t>
  </si>
  <si>
    <t>chocobar</t>
  </si>
  <si>
    <t>tetra</t>
  </si>
  <si>
    <t>vadapav</t>
  </si>
  <si>
    <t>Vada &amp; coke</t>
  </si>
  <si>
    <t>French fries + Chai</t>
  </si>
  <si>
    <t>Water Bottle</t>
  </si>
  <si>
    <t>Veg&amp; Fruit</t>
  </si>
  <si>
    <t>reliance retail</t>
  </si>
  <si>
    <t>Amavasya</t>
  </si>
  <si>
    <t>Nitin</t>
  </si>
  <si>
    <t>Montalucast</t>
  </si>
  <si>
    <t>rechrge</t>
  </si>
  <si>
    <t>reacharge</t>
  </si>
  <si>
    <t>jio cenema</t>
  </si>
  <si>
    <t>petro</t>
  </si>
  <si>
    <t>ahm-khr</t>
  </si>
  <si>
    <t>maggie+snake</t>
  </si>
  <si>
    <t>Onion+poteto</t>
  </si>
  <si>
    <t>tea leaves+mentos</t>
  </si>
  <si>
    <t>grosry</t>
  </si>
  <si>
    <t>grossries+aloo</t>
  </si>
  <si>
    <t>chach</t>
  </si>
  <si>
    <t>dahi</t>
  </si>
  <si>
    <t>Samosa chat+cone</t>
  </si>
  <si>
    <t>Dabeli+snake</t>
  </si>
  <si>
    <t>Snake</t>
  </si>
  <si>
    <t>Lays2x+ icecream+chai+realtetra</t>
  </si>
  <si>
    <t>mazza+kurkure</t>
  </si>
  <si>
    <t>popcorn</t>
  </si>
  <si>
    <t>panipuri+coke+manchurian</t>
  </si>
  <si>
    <t>Samosachat+vadapav+realtetra</t>
  </si>
  <si>
    <t>popcorn+kurkure+tetra</t>
  </si>
  <si>
    <t>manchirian</t>
  </si>
  <si>
    <t>icecream</t>
  </si>
  <si>
    <t>mexicon sandwich+tetra</t>
  </si>
  <si>
    <t>manchurian</t>
  </si>
  <si>
    <t>samosa chat+poha</t>
  </si>
  <si>
    <t>vada+cone</t>
  </si>
  <si>
    <t>hide&amp;seek</t>
  </si>
  <si>
    <t>Handkarship</t>
  </si>
  <si>
    <t>snake+veg+fruit</t>
  </si>
  <si>
    <t>shamppoo</t>
  </si>
  <si>
    <t>fruit+papad</t>
  </si>
  <si>
    <t>sign&amp;chana</t>
  </si>
  <si>
    <t>sing</t>
  </si>
  <si>
    <t>chocos+soda+jaljeera</t>
  </si>
  <si>
    <t>sonal didi expenses</t>
  </si>
  <si>
    <t>Loss in trading</t>
  </si>
  <si>
    <t>cofsils</t>
  </si>
  <si>
    <t>motalucast</t>
  </si>
  <si>
    <t>medical certificate</t>
  </si>
  <si>
    <t>papa medicin</t>
  </si>
  <si>
    <t>Scoty service</t>
  </si>
  <si>
    <t>puncher repair</t>
  </si>
  <si>
    <t>petrol,repido</t>
  </si>
  <si>
    <t>Paneer+Masala</t>
  </si>
  <si>
    <t>onion, salt, dahi</t>
  </si>
  <si>
    <t>dal pakora khiru</t>
  </si>
  <si>
    <t>coldrings</t>
  </si>
  <si>
    <t>aloo, chach</t>
  </si>
  <si>
    <t>Fafda</t>
  </si>
  <si>
    <t>Lemon ice tea+ smooth+ america nuts</t>
  </si>
  <si>
    <t>tetra+maza+coca+kurkure</t>
  </si>
  <si>
    <t>cone+samosa+snakes</t>
  </si>
  <si>
    <t>7up nimboo</t>
  </si>
  <si>
    <t>coke</t>
  </si>
  <si>
    <t>Fruits</t>
  </si>
  <si>
    <t>vadapav, veg cutlet, breadpakora</t>
  </si>
  <si>
    <t>kitkat, orbit</t>
  </si>
  <si>
    <t>samosa chat, popcorn</t>
  </si>
  <si>
    <t>snaks to salangpur</t>
  </si>
  <si>
    <t>lunch, snak</t>
  </si>
  <si>
    <t>lays</t>
  </si>
  <si>
    <t>samosa chat</t>
  </si>
  <si>
    <t>manchurian, samosa</t>
  </si>
  <si>
    <t>aloo paratha,kurkure</t>
  </si>
  <si>
    <t>bhel,real tetra</t>
  </si>
  <si>
    <t>samosa, coffe, cone</t>
  </si>
  <si>
    <t>snaks,coldrings</t>
  </si>
  <si>
    <t>dal pakwan</t>
  </si>
  <si>
    <t>Pizaa, poha</t>
  </si>
  <si>
    <t>chuingum, tetra</t>
  </si>
  <si>
    <t>Happydent</t>
  </si>
  <si>
    <t>centre fresh</t>
  </si>
  <si>
    <t>Lays+Happydend+popcorn</t>
  </si>
  <si>
    <t>Chips</t>
  </si>
  <si>
    <t>Shampoo</t>
  </si>
  <si>
    <t>water bottle</t>
  </si>
  <si>
    <t>rumal</t>
  </si>
  <si>
    <t>campacola</t>
  </si>
  <si>
    <t>swingum</t>
  </si>
  <si>
    <t>Tava</t>
  </si>
  <si>
    <t>ohers</t>
  </si>
  <si>
    <t>medicin</t>
  </si>
  <si>
    <t>Zerox</t>
  </si>
  <si>
    <t>Scotty check</t>
  </si>
  <si>
    <t>Battery</t>
  </si>
  <si>
    <t>Reachrge</t>
  </si>
  <si>
    <t>Haircut me+viru</t>
  </si>
  <si>
    <t>Mobile repair(narzo 30a)</t>
  </si>
  <si>
    <t>AHM to KHR + 100 petrol</t>
  </si>
  <si>
    <t>KHR-AHM, 300 petrol</t>
  </si>
  <si>
    <t>AHM-KHR</t>
  </si>
  <si>
    <t>grosrry</t>
  </si>
  <si>
    <t>paneer+dahi</t>
  </si>
  <si>
    <t>baj dunda</t>
  </si>
  <si>
    <t>apple</t>
  </si>
  <si>
    <t>namkeen+chana+kitkat</t>
  </si>
  <si>
    <t>curd</t>
  </si>
  <si>
    <t>Capsicum</t>
  </si>
  <si>
    <t xml:space="preserve">bread
</t>
  </si>
  <si>
    <t>Eggs</t>
  </si>
  <si>
    <t>vadapav+snaks+coldrings</t>
  </si>
  <si>
    <t>chole chat+coldring+jeera</t>
  </si>
  <si>
    <t>banana+snaks</t>
  </si>
  <si>
    <t>Pizza+samosa chat</t>
  </si>
  <si>
    <t>Aloo paratha+snaks</t>
  </si>
  <si>
    <t>Buzzle ED, Burger,panipuri, vadapav, real, Choclet, snaks</t>
  </si>
  <si>
    <t>harskeys drink</t>
  </si>
  <si>
    <t>aloo ticky, snaks, real</t>
  </si>
  <si>
    <t>icecream, pepsi, paneer</t>
  </si>
  <si>
    <t>chumin</t>
  </si>
  <si>
    <t>manchurian, snaks</t>
  </si>
  <si>
    <t>Idli</t>
  </si>
  <si>
    <t>pav bhaji, paneer cili, trear to frd, coldring</t>
  </si>
  <si>
    <t>vadapav+snaks</t>
  </si>
  <si>
    <t>Aloo paratha</t>
  </si>
  <si>
    <t>Doritos+julubar2x+samosachat+smoth+jeera</t>
  </si>
  <si>
    <t>Vdapav+snaks</t>
  </si>
  <si>
    <t>Idli+snaks</t>
  </si>
  <si>
    <t>Machurian</t>
  </si>
  <si>
    <t>panipuri</t>
  </si>
  <si>
    <t>Myntra total 3500 refund = 1500</t>
  </si>
  <si>
    <t>kurta</t>
  </si>
  <si>
    <t>temper 2x, cover</t>
  </si>
  <si>
    <t>Sofa cover avd</t>
  </si>
  <si>
    <t>Sofa cover+ Home items</t>
  </si>
  <si>
    <t>Dmart s</t>
  </si>
  <si>
    <t>crackers</t>
  </si>
  <si>
    <t>Crekers</t>
  </si>
  <si>
    <t>kitkat to faculty</t>
  </si>
  <si>
    <t xml:space="preserve">nilay </t>
  </si>
  <si>
    <t xml:space="preserve">Fees </t>
  </si>
  <si>
    <t xml:space="preserve">Extra Tution Fees </t>
  </si>
  <si>
    <t>Exam fees</t>
  </si>
  <si>
    <t>tret</t>
  </si>
  <si>
    <t>Monta</t>
  </si>
  <si>
    <t>jiocenama</t>
  </si>
  <si>
    <t>Photo copy</t>
  </si>
  <si>
    <t>print out</t>
  </si>
  <si>
    <t>reachrge</t>
  </si>
  <si>
    <t>Bag security</t>
  </si>
  <si>
    <t>Haircut</t>
  </si>
  <si>
    <t>Lawyer fees</t>
  </si>
  <si>
    <t>Puncher</t>
  </si>
  <si>
    <t>Petro</t>
  </si>
  <si>
    <t>KHR-AHM</t>
  </si>
  <si>
    <t>AHM-KHR+Petrol 50</t>
  </si>
  <si>
    <t xml:space="preserve"> </t>
  </si>
  <si>
    <t>Papad</t>
  </si>
  <si>
    <t>Sweets</t>
  </si>
  <si>
    <t>potato</t>
  </si>
  <si>
    <t>groscie</t>
  </si>
  <si>
    <t>Chicken</t>
  </si>
  <si>
    <t>Amavas snaks</t>
  </si>
  <si>
    <t>Chicken pakora+ice cream</t>
  </si>
  <si>
    <t>Samosa+aloo paratha</t>
  </si>
  <si>
    <t>Samosa+vada+Tea+Panipuri</t>
  </si>
  <si>
    <t>Bombay bhel+Pani nuri</t>
  </si>
  <si>
    <t>Cold Cofee+ Snaks</t>
  </si>
  <si>
    <t>Panipuri</t>
  </si>
  <si>
    <t>samosa+tea</t>
  </si>
  <si>
    <t>French fries+ samosa+ manchurian</t>
  </si>
  <si>
    <t>pasta</t>
  </si>
  <si>
    <t>Snaks+coldring</t>
  </si>
  <si>
    <t>Tetra+samosa chat+cone+samosa+snaks</t>
  </si>
  <si>
    <t>paneer chilli</t>
  </si>
  <si>
    <t>aloo paratha+snaks</t>
  </si>
  <si>
    <t>Rice machurian+pav bhaji+drinks+extra pav+snaks</t>
  </si>
  <si>
    <t>Paneer Bhurji</t>
  </si>
  <si>
    <t>Jeans FIx</t>
  </si>
  <si>
    <t>Fevi quick</t>
  </si>
  <si>
    <t>Stationary</t>
  </si>
  <si>
    <t>chana+chewngum</t>
  </si>
  <si>
    <t>cheese</t>
  </si>
  <si>
    <t>LIC</t>
  </si>
  <si>
    <t>Others</t>
  </si>
  <si>
    <t>to neques</t>
  </si>
  <si>
    <t xml:space="preserve">Amavas </t>
  </si>
  <si>
    <t>Sem 4 fees</t>
  </si>
  <si>
    <t>Eardrop</t>
  </si>
  <si>
    <t>ENT DUPR</t>
  </si>
  <si>
    <t>ENT DURP</t>
  </si>
  <si>
    <t>Papa medicine</t>
  </si>
  <si>
    <t>Spotify</t>
  </si>
  <si>
    <t>Pg</t>
  </si>
  <si>
    <t>Comb+detergent+tohthpast</t>
  </si>
  <si>
    <t>utilities</t>
  </si>
  <si>
    <t>KHE-AHM, Petrol</t>
  </si>
  <si>
    <t>pg to nana chilod</t>
  </si>
  <si>
    <t>chiken</t>
  </si>
  <si>
    <t>chana</t>
  </si>
  <si>
    <t>Poha+Mazza+snaks</t>
  </si>
  <si>
    <t>samosa chat+vadapav+snaks</t>
  </si>
  <si>
    <t>Dominos pizza+jeera</t>
  </si>
  <si>
    <t>Poha+ Aloo paratha+dinner</t>
  </si>
  <si>
    <t>friedrice+dinner+cone+samosa</t>
  </si>
  <si>
    <t>samosa+smosa chat+snaks+dinner</t>
  </si>
  <si>
    <t>aloo paratha+vadapav+ dinner</t>
  </si>
  <si>
    <t>Dinner</t>
  </si>
  <si>
    <t>Maggie+sandwich+nodlles+snkask</t>
  </si>
  <si>
    <t>samosa+dinner</t>
  </si>
  <si>
    <t>Bhel+dinner</t>
  </si>
  <si>
    <t>vadapav+ samosa+lemon drink+dinner+</t>
  </si>
  <si>
    <t>dinner+sanks+fruits</t>
  </si>
  <si>
    <t>samosa chat+sanaks+dinner+late night buger</t>
  </si>
  <si>
    <t>machurian</t>
  </si>
  <si>
    <t>Dinner+cone+samosa chat</t>
  </si>
  <si>
    <t>swiggy+soda+dinner</t>
  </si>
  <si>
    <t>maggie+dinner</t>
  </si>
  <si>
    <t>Dinner+moong kachori+samosa chat</t>
  </si>
  <si>
    <t>aloo partha+dinner</t>
  </si>
  <si>
    <t>pizza hut+ dinner</t>
  </si>
  <si>
    <t>Chicken noodles</t>
  </si>
  <si>
    <t>samosa+maggie+paneer gwali</t>
  </si>
  <si>
    <t>oven story+kfc</t>
  </si>
  <si>
    <t>Jeans+undergarments</t>
  </si>
  <si>
    <t>Shopping Jio mart</t>
  </si>
  <si>
    <t>stationary</t>
  </si>
  <si>
    <t>JJ25</t>
  </si>
  <si>
    <t>Jio mart</t>
  </si>
  <si>
    <t>Activa inssurence</t>
  </si>
  <si>
    <t>temperd</t>
  </si>
  <si>
    <t>For Sccoter claim submission</t>
  </si>
  <si>
    <t>sarvoday AC</t>
  </si>
  <si>
    <t>Nilay for transport+print for docu</t>
  </si>
  <si>
    <t>chalan loss</t>
  </si>
  <si>
    <t>NIlay</t>
  </si>
  <si>
    <t>nilay</t>
  </si>
  <si>
    <t>Reachage Mom</t>
  </si>
  <si>
    <t>Vi reachrge</t>
  </si>
  <si>
    <t>Lenscart membership</t>
  </si>
  <si>
    <t>shikho</t>
  </si>
  <si>
    <t>pg due</t>
  </si>
  <si>
    <t>Air tier</t>
  </si>
  <si>
    <t>Recharge my</t>
  </si>
  <si>
    <t>Haur cut</t>
  </si>
  <si>
    <t>Harshil</t>
  </si>
  <si>
    <t>PG-AHM</t>
  </si>
  <si>
    <t>AHM-PG</t>
  </si>
  <si>
    <t>Petrol Accent</t>
  </si>
  <si>
    <t>City palace+Travel</t>
  </si>
  <si>
    <t>Milk+Bread</t>
  </si>
  <si>
    <t>Maggie +cone</t>
  </si>
  <si>
    <t>zchiken</t>
  </si>
  <si>
    <t>Aloo partha+ Kachori+chana jor+dinner</t>
  </si>
  <si>
    <t>Swiggy+Dinner+samosa chat</t>
  </si>
  <si>
    <t>coca+swiggy</t>
  </si>
  <si>
    <t>Treat apollo cant</t>
  </si>
  <si>
    <t>Dinner+coffe appollo</t>
  </si>
  <si>
    <t>breakfast+lunch+dinner</t>
  </si>
  <si>
    <t>aloo partha+dinner+swiggy ln</t>
  </si>
  <si>
    <t>samosa chat+ hotel snaks</t>
  </si>
  <si>
    <t>Snaks from JMB</t>
  </si>
  <si>
    <t>Snaks from JMB+Kitkat</t>
  </si>
  <si>
    <t>Street food</t>
  </si>
  <si>
    <t>Eggs+maggie</t>
  </si>
  <si>
    <t>Chiken pakora</t>
  </si>
  <si>
    <t>Aloo paratha+coke</t>
  </si>
  <si>
    <t>french fries + snaks</t>
  </si>
  <si>
    <t>Pizza+Coke+Bummer</t>
  </si>
  <si>
    <t>Coffe+snaks+parrty adjust</t>
  </si>
  <si>
    <t>Coldfrink</t>
  </si>
  <si>
    <t>Tea</t>
  </si>
  <si>
    <t>Lenscart</t>
  </si>
  <si>
    <t>cheingum</t>
  </si>
  <si>
    <t>RSS Dress</t>
  </si>
  <si>
    <t>Temper</t>
  </si>
  <si>
    <t>towel+hair oil</t>
  </si>
  <si>
    <t>Electronics rssentials</t>
  </si>
  <si>
    <t>misc</t>
  </si>
  <si>
    <t>Pg Rent</t>
  </si>
  <si>
    <t>Activa service</t>
  </si>
  <si>
    <t>Auto + Ahm to Khr</t>
  </si>
  <si>
    <t>Khr-Ahm+riksah</t>
  </si>
  <si>
    <t>Amul milk 1 ltr</t>
  </si>
  <si>
    <t>Dairy</t>
  </si>
  <si>
    <t>fruits</t>
  </si>
  <si>
    <t>Nameen+graps</t>
  </si>
  <si>
    <t>Samosa</t>
  </si>
  <si>
    <t>KFC night</t>
  </si>
  <si>
    <t xml:space="preserve">Chana jor </t>
  </si>
  <si>
    <t>Frenki station</t>
  </si>
  <si>
    <t>Nimboo pani+ samosa</t>
  </si>
  <si>
    <t>cone+snaks</t>
  </si>
  <si>
    <t>coffe+nachos</t>
  </si>
  <si>
    <t>nachos+pyaj kachori</t>
  </si>
  <si>
    <t>pizza coke</t>
  </si>
  <si>
    <t>pizza swiggy</t>
  </si>
  <si>
    <t>Graps+samosa</t>
  </si>
  <si>
    <t>cheingum+snaks</t>
  </si>
  <si>
    <t>graps</t>
  </si>
  <si>
    <t>Kfc</t>
  </si>
  <si>
    <t>cone+cheugum</t>
  </si>
  <si>
    <t>fruits+maggie</t>
  </si>
  <si>
    <t>eggs</t>
  </si>
  <si>
    <t>Rice Manchu+Chiken pakora</t>
  </si>
  <si>
    <t>Chiken</t>
  </si>
  <si>
    <t>colget</t>
  </si>
  <si>
    <t>snatinary</t>
  </si>
  <si>
    <t>snkas</t>
  </si>
  <si>
    <t>instamart</t>
  </si>
  <si>
    <t>temper</t>
  </si>
  <si>
    <t>Belt+Handkarchif</t>
  </si>
  <si>
    <t>NPTEL</t>
  </si>
  <si>
    <t>Earwax</t>
  </si>
  <si>
    <t>DOLO</t>
  </si>
  <si>
    <t>Reachage</t>
  </si>
  <si>
    <t>PG Rent</t>
  </si>
  <si>
    <t>Hair Cut</t>
  </si>
  <si>
    <t>Cooker repair</t>
  </si>
  <si>
    <t>Ahm-Khr+ rapido</t>
  </si>
  <si>
    <t>KHR-AHM, Petrol</t>
  </si>
  <si>
    <t>Khr- AHM</t>
  </si>
  <si>
    <t>Collage - Bustand/ AHM- KHR</t>
  </si>
  <si>
    <t>Grosrries</t>
  </si>
  <si>
    <t>grossry</t>
  </si>
  <si>
    <t>Veg &amp; fruits</t>
  </si>
  <si>
    <t>Nachos+garlic bread</t>
  </si>
  <si>
    <t>Swiggy + Snaks</t>
  </si>
  <si>
    <t>Eat out</t>
  </si>
  <si>
    <t>aloo sev</t>
  </si>
  <si>
    <t>colddrink</t>
  </si>
  <si>
    <t>Juice</t>
  </si>
  <si>
    <t>Nasta +petrol</t>
  </si>
  <si>
    <t>Jalebi</t>
  </si>
  <si>
    <t>Snaks+samasa</t>
  </si>
  <si>
    <t>periperi french fries</t>
  </si>
  <si>
    <t>nimboo pani+ cone</t>
  </si>
  <si>
    <t>Manchurian+ Snaks</t>
  </si>
  <si>
    <t>Handloom</t>
  </si>
  <si>
    <t xml:space="preserve">Food Oil </t>
  </si>
  <si>
    <t>Minchu Cloth</t>
  </si>
  <si>
    <t>unkown</t>
  </si>
  <si>
    <t>Bat contri</t>
  </si>
  <si>
    <t>file</t>
  </si>
  <si>
    <t>Upbhokta</t>
  </si>
  <si>
    <t>Unkwon</t>
  </si>
  <si>
    <t>chuna+ rassi</t>
  </si>
  <si>
    <t>Ride</t>
  </si>
  <si>
    <t>Counsultancy +Test+ tablets+echo</t>
  </si>
  <si>
    <t>utility</t>
  </si>
  <si>
    <t>E bill k</t>
  </si>
  <si>
    <t>KHR_H+AHM+ Harshil50</t>
  </si>
  <si>
    <t>porter</t>
  </si>
  <si>
    <t>cab</t>
  </si>
  <si>
    <t>Samosa Chat+Coke+Cone+snaks</t>
  </si>
  <si>
    <t>Machurian + coke</t>
  </si>
  <si>
    <t>coke+sandwich</t>
  </si>
  <si>
    <t>pizza</t>
  </si>
  <si>
    <t>limca</t>
  </si>
  <si>
    <t>coffe</t>
  </si>
  <si>
    <t>manchu+sandwich+momo</t>
  </si>
  <si>
    <t>coldring+ganna juice</t>
  </si>
  <si>
    <t>Milk</t>
  </si>
  <si>
    <t>snkas+ closeup</t>
  </si>
  <si>
    <t>stasnary</t>
  </si>
  <si>
    <t>N.handloom</t>
  </si>
  <si>
    <t>amavaya</t>
  </si>
  <si>
    <t>lifafa to down floor room</t>
  </si>
  <si>
    <t>Fees</t>
  </si>
  <si>
    <t>Medicin papa</t>
  </si>
  <si>
    <t>pain killer</t>
  </si>
  <si>
    <t>Ebill</t>
  </si>
  <si>
    <t>Fruits&amp;Veg</t>
  </si>
  <si>
    <t>GYM mem…</t>
  </si>
  <si>
    <t>Medicim</t>
  </si>
  <si>
    <t>Amazon</t>
  </si>
  <si>
    <t>manchu</t>
  </si>
  <si>
    <t>egg</t>
  </si>
  <si>
    <t>fruits&amp;veg</t>
  </si>
  <si>
    <t>battry</t>
  </si>
  <si>
    <t>aloo vada</t>
  </si>
  <si>
    <t>Dada up</t>
  </si>
  <si>
    <t>Milk+dahi</t>
  </si>
  <si>
    <t>Bottle From messo</t>
  </si>
  <si>
    <t>kulfi +  aloo vada</t>
  </si>
  <si>
    <t>ice creame</t>
  </si>
  <si>
    <t>Cone + candy Dada</t>
  </si>
  <si>
    <t>Ear drop</t>
  </si>
  <si>
    <t>Milk + milk taza</t>
  </si>
  <si>
    <t>rechage</t>
  </si>
  <si>
    <t>veg</t>
  </si>
  <si>
    <t>gas tank</t>
  </si>
  <si>
    <t>amavsas</t>
  </si>
  <si>
    <t>papad</t>
  </si>
  <si>
    <t>snaks+ kulfi</t>
  </si>
  <si>
    <t>chicken</t>
  </si>
  <si>
    <t>jio savan</t>
  </si>
  <si>
    <t>medicin papa</t>
  </si>
  <si>
    <t>Temper + cover</t>
  </si>
  <si>
    <t>sun screen + 100 for 2 products</t>
  </si>
  <si>
    <t>chiken+ cone</t>
  </si>
  <si>
    <t>dadaupbhootan +curd</t>
  </si>
  <si>
    <t>gym</t>
  </si>
  <si>
    <t>Jens</t>
  </si>
  <si>
    <t>KHR-AHM+40 Riksha</t>
  </si>
  <si>
    <t>Mentos+snaks</t>
  </si>
  <si>
    <t>Monta+multiviamons</t>
  </si>
  <si>
    <t>1000Nilay, Loss Cigrests+redbull</t>
  </si>
  <si>
    <t>Popcorn+15tea+Tetra</t>
  </si>
  <si>
    <t>Dmart+200lenskart+eye drop</t>
  </si>
  <si>
    <t>ebill</t>
  </si>
  <si>
    <t>prime</t>
  </si>
  <si>
    <t>water</t>
  </si>
  <si>
    <t>cread</t>
  </si>
  <si>
    <t>dish tv</t>
  </si>
  <si>
    <t>levo</t>
  </si>
  <si>
    <t>grosary</t>
  </si>
  <si>
    <t>druja lower</t>
  </si>
  <si>
    <t>id holder</t>
  </si>
  <si>
    <t>Lunch</t>
  </si>
  <si>
    <t>dahi+ cheungum</t>
  </si>
  <si>
    <t>Samosa+ cofee+ popcorn</t>
  </si>
  <si>
    <t>Recharge mummy</t>
  </si>
  <si>
    <t>Nilay total 2000</t>
  </si>
  <si>
    <t>IOT Saman</t>
  </si>
  <si>
    <t>Nitin for ice cream</t>
  </si>
  <si>
    <t>shopping handloonm</t>
  </si>
  <si>
    <t>others</t>
  </si>
  <si>
    <t>Soda</t>
  </si>
  <si>
    <t>Service (activa lock)</t>
  </si>
  <si>
    <t>Upbhoktan</t>
  </si>
  <si>
    <t>Cloths for Mameru</t>
  </si>
  <si>
    <t>Misc</t>
  </si>
  <si>
    <t>upbhoktan</t>
  </si>
  <si>
    <t>Allo vada+kachori+lassie+eggs</t>
  </si>
  <si>
    <t>dadaup</t>
  </si>
  <si>
    <t>lassie</t>
  </si>
  <si>
    <t>misk</t>
  </si>
  <si>
    <t>Whey MB</t>
  </si>
  <si>
    <t>Dada up +Puja saman</t>
  </si>
  <si>
    <t>Lassie</t>
  </si>
  <si>
    <t>Reachare</t>
  </si>
  <si>
    <t>Misk</t>
  </si>
  <si>
    <t>Chiken + snaks</t>
  </si>
  <si>
    <t>Lassi+snaks</t>
  </si>
  <si>
    <t>Brezzers</t>
  </si>
  <si>
    <t>hiku+ curd</t>
  </si>
  <si>
    <t>Limon</t>
  </si>
  <si>
    <t>Papdi +mago</t>
  </si>
  <si>
    <t>Chach+banana</t>
  </si>
  <si>
    <t>Smart Bazar</t>
  </si>
  <si>
    <t>Dinner + Snaks</t>
  </si>
  <si>
    <t>stand for activa</t>
  </si>
  <si>
    <t>Tomato+panner</t>
  </si>
  <si>
    <t>Chiken+snaks+kachori</t>
  </si>
  <si>
    <t>shopping</t>
  </si>
  <si>
    <t>Grossarie</t>
  </si>
  <si>
    <t>Chach</t>
  </si>
  <si>
    <t xml:space="preserve">Samosa+luch+ spring roll+pan </t>
  </si>
  <si>
    <t>Lunch + Kacori+ snaks+chewngum+ pbhuta</t>
  </si>
  <si>
    <t>Prteol</t>
  </si>
  <si>
    <t>pertol</t>
  </si>
  <si>
    <t>Dahi</t>
  </si>
  <si>
    <t>samosa+ terta</t>
  </si>
  <si>
    <t>swaminarayan</t>
  </si>
  <si>
    <t>Pyaj kachori+2x tetra+phuta+coffee</t>
  </si>
  <si>
    <t>Pizza hut +Samosa chat</t>
  </si>
  <si>
    <t>samosa+2x tetra</t>
  </si>
  <si>
    <t>samosa+tetra</t>
  </si>
  <si>
    <t>PG deposit</t>
  </si>
  <si>
    <t>Nikki sari for rakki</t>
  </si>
  <si>
    <t xml:space="preserve">eatout, roam </t>
  </si>
  <si>
    <t>gosries</t>
  </si>
  <si>
    <t>Muslie amazon</t>
  </si>
  <si>
    <t>grossries</t>
  </si>
  <si>
    <t>dinner</t>
  </si>
  <si>
    <t>Cab Uvarsd</t>
  </si>
  <si>
    <t>Tea, tetra+ 80 ru dinner</t>
  </si>
  <si>
    <t>sawich+ samosa+ milk+ cheungum+ dinner</t>
  </si>
  <si>
    <t>aswagndha</t>
  </si>
  <si>
    <t>Tea+samosa+dinner</t>
  </si>
  <si>
    <t>PG rent</t>
  </si>
  <si>
    <t>Tea+ milk+ samosa+ chana+ dinner</t>
  </si>
  <si>
    <t>samosa+ coldrink+ snaks+maggie</t>
  </si>
  <si>
    <t>rechagre</t>
  </si>
  <si>
    <t>Ebill K</t>
  </si>
  <si>
    <t>Tempr</t>
  </si>
  <si>
    <t>kachori+ icecream+ mancurian</t>
  </si>
  <si>
    <t>montalukast</t>
  </si>
  <si>
    <t>instat coffee shcest</t>
  </si>
  <si>
    <t>oldmonk+kyc</t>
  </si>
  <si>
    <t>samosa+eatout</t>
  </si>
  <si>
    <t>handkarcief cred</t>
  </si>
  <si>
    <t>samosa+ lemon ice tea+ kfc</t>
  </si>
  <si>
    <t>Nilay</t>
  </si>
  <si>
    <t>Lock</t>
  </si>
  <si>
    <t>Grossairees</t>
  </si>
  <si>
    <t>Milk+tetra</t>
  </si>
  <si>
    <t>Nilay Petrol</t>
  </si>
  <si>
    <t>Samosa+ chai+ milk</t>
  </si>
  <si>
    <t>Shawrma+eggs+milk+nachos</t>
  </si>
  <si>
    <t>Shawrma+ tetra+ eggs+ coke+ milk+ allo sev</t>
  </si>
  <si>
    <t>Samosa+ fruits+milk</t>
  </si>
  <si>
    <t>Surf+ det\</t>
  </si>
  <si>
    <t>Dinner+nacho+cheungum</t>
  </si>
  <si>
    <t>60 for snaks+36 milk</t>
  </si>
  <si>
    <t>smosa+fruits9milk+nacho</t>
  </si>
  <si>
    <t>Rishit+wire</t>
  </si>
  <si>
    <t>Swiggy+milk</t>
  </si>
  <si>
    <t>KFC+samosa+coke</t>
  </si>
  <si>
    <t>samosa+tea&amp;snaks+banana+eggs+coke+burritos</t>
  </si>
  <si>
    <t>Lenskart specs replacemt</t>
  </si>
  <si>
    <t>Lunch+Dinner+Jira+momo</t>
  </si>
  <si>
    <t>PG to AHM+ 50Petrol</t>
  </si>
  <si>
    <t>Milk snaks</t>
  </si>
  <si>
    <t>Jeera + Swiggy+ bb+ Milk snaks</t>
  </si>
  <si>
    <t>Gym</t>
  </si>
  <si>
    <t>Eggs+milk+snaks+chewngum</t>
  </si>
  <si>
    <t>KFC+milk+snaks+chan+coke</t>
  </si>
  <si>
    <t>Aloo paratha+snaks+eggs+milk</t>
  </si>
  <si>
    <t>shawrma+samosa+shampoo+eggs</t>
  </si>
  <si>
    <t>Dinner+swiggy</t>
  </si>
  <si>
    <t>omlet+eggs+milk+snaks+jeera</t>
  </si>
  <si>
    <t>omlet2x+coke+burger+eggsboil+omlet</t>
  </si>
  <si>
    <t>Sandels</t>
  </si>
  <si>
    <t>Dinner + Snaks9 print+ fruit jeera</t>
  </si>
  <si>
    <t>samosa+ snaks+ pizza 150</t>
  </si>
  <si>
    <t>Chengum+ eggs+ lunch + milk + snkas</t>
  </si>
  <si>
    <t>Taco bell+snaks+ eggs+ coke</t>
  </si>
  <si>
    <t>Manchurian + snaks</t>
  </si>
  <si>
    <t>Pg- AHM</t>
  </si>
  <si>
    <t>Coffee</t>
  </si>
  <si>
    <t>Swiggy+ snaks+ eggs + coke</t>
  </si>
  <si>
    <t>Zomato+ carot+ cuc+ eggs+milk</t>
  </si>
  <si>
    <t>Snaks+dinner+snaks</t>
  </si>
  <si>
    <t>Pizza+fruit+eggs</t>
  </si>
  <si>
    <t>Lunch+snaks+milk+eggs</t>
  </si>
  <si>
    <t>Repido'</t>
  </si>
  <si>
    <t>Repido to gym</t>
  </si>
  <si>
    <t>Snaks+ fries from clock+ pizza</t>
  </si>
  <si>
    <t>Ebil</t>
  </si>
  <si>
    <t>LIC pre</t>
  </si>
  <si>
    <t>Dinner+snaks+shampoo+tooth paste+mils</t>
  </si>
  <si>
    <t>Dinner+snaks</t>
  </si>
  <si>
    <t>Party+eggs dinner</t>
  </si>
  <si>
    <t>Detergent</t>
  </si>
  <si>
    <t>Aamavashya</t>
  </si>
  <si>
    <t>Cold drink+rice+eggs+curdmilk</t>
  </si>
  <si>
    <t>Repidoo</t>
  </si>
  <si>
    <t>Samosa+salad+eggs+milkcurd</t>
  </si>
  <si>
    <t>Eggs+salad</t>
  </si>
  <si>
    <t>Uttap,+curdmilk+fruuuitsalad</t>
  </si>
  <si>
    <t>Nephue treat+sandwich</t>
  </si>
  <si>
    <t>Ahm-khr+150petrol</t>
  </si>
  <si>
    <t>lunch</t>
  </si>
  <si>
    <t>Panneer</t>
  </si>
  <si>
    <t>Tap for ro</t>
  </si>
  <si>
    <t>Muslie+ots</t>
  </si>
  <si>
    <t>Dahi+maggie</t>
  </si>
  <si>
    <t>snaks for minchu</t>
  </si>
  <si>
    <t>Celing Fan</t>
  </si>
  <si>
    <t>Oldmonk+coldrik</t>
  </si>
  <si>
    <t>data up</t>
  </si>
  <si>
    <t>coffee scheche</t>
  </si>
  <si>
    <t>Entertainment</t>
  </si>
  <si>
    <t>Movie Kanatara</t>
  </si>
  <si>
    <t>Sjooping</t>
  </si>
  <si>
    <t>eggs+food+jalebi</t>
  </si>
  <si>
    <t>Eggs+coffe</t>
  </si>
  <si>
    <t>Namkeen+snaks</t>
  </si>
  <si>
    <t>Eggs+dairy</t>
  </si>
  <si>
    <t>Tempre</t>
  </si>
  <si>
    <t>Dahi+chana</t>
  </si>
  <si>
    <t>bus+repido</t>
  </si>
  <si>
    <t>Omlet+juice+qfc rol</t>
  </si>
  <si>
    <t>omlet+mil+dinner+coffee+icecreame</t>
  </si>
  <si>
    <t>Eggs+snkaks</t>
  </si>
  <si>
    <t>chikenrice+tetra+omlet+chikki</t>
  </si>
  <si>
    <t>milk+snaks+eggs+iceceame+niboo</t>
  </si>
  <si>
    <t>Juice+popcorn+dinner+water+omlet+mil+sansk</t>
  </si>
  <si>
    <t>Collage event</t>
  </si>
  <si>
    <t>Phto</t>
  </si>
  <si>
    <t>swiggy+eggs+coke+dahi</t>
  </si>
  <si>
    <t xml:space="preserve">eggs+lemonjiuce+dahi </t>
  </si>
  <si>
    <t xml:space="preserve">eggs+dahi+watebotlle+milk </t>
  </si>
  <si>
    <t>William 855+Bparty risit+poha chai</t>
  </si>
  <si>
    <t>icecreame</t>
  </si>
  <si>
    <t>retail</t>
  </si>
  <si>
    <t>eggs tray</t>
  </si>
  <si>
    <t>eggs tray+vegi</t>
  </si>
  <si>
    <t>pgbill</t>
  </si>
  <si>
    <t>eardrop</t>
  </si>
  <si>
    <t>narial</t>
  </si>
  <si>
    <t>ghee</t>
  </si>
  <si>
    <t>service</t>
  </si>
  <si>
    <t>dairy</t>
  </si>
  <si>
    <t>chiken+oldmonnk+kulfi</t>
  </si>
  <si>
    <t>bread+juice</t>
  </si>
  <si>
    <t>milk+dahi</t>
  </si>
  <si>
    <t>amavsya</t>
  </si>
  <si>
    <t>rachage</t>
  </si>
  <si>
    <t>exam fees</t>
  </si>
  <si>
    <t>seat cover</t>
  </si>
  <si>
    <t>earbud</t>
  </si>
  <si>
    <t>Cyilender</t>
  </si>
  <si>
    <t>Dada Up</t>
  </si>
  <si>
    <t>250 bus+petrol</t>
  </si>
  <si>
    <t>Chinese</t>
  </si>
  <si>
    <t>snaks+coffe</t>
  </si>
  <si>
    <t>Ear clean + medicine</t>
  </si>
  <si>
    <t>eggs+aloo parath</t>
  </si>
  <si>
    <t>Dinner+lassie in afternoon</t>
  </si>
  <si>
    <t>chewngum</t>
  </si>
  <si>
    <t>Bus</t>
  </si>
  <si>
    <t>Pent from myntra</t>
  </si>
  <si>
    <t>Volcano pixzaa+snaks travelling+ omlwt allo paratha</t>
  </si>
  <si>
    <t>Petrol for Punch+ scooter</t>
  </si>
  <si>
    <t>Waterr bottle</t>
  </si>
  <si>
    <t>Repido to pg</t>
  </si>
  <si>
    <t>lunch+dinner</t>
  </si>
  <si>
    <t>smosa+swiggy</t>
  </si>
  <si>
    <t>allo paratha+eggs</t>
  </si>
  <si>
    <t>dahi+chai</t>
  </si>
  <si>
    <t>milk+curd</t>
  </si>
  <si>
    <t>fruits+dinnner</t>
  </si>
  <si>
    <t>milk+snaks</t>
  </si>
  <si>
    <t>burger+chiken rice+fruits</t>
  </si>
  <si>
    <t>milk+curd+snaks</t>
  </si>
  <si>
    <t>bb shopping</t>
  </si>
  <si>
    <t>milk+fruits</t>
  </si>
  <si>
    <t>eggs+fruits</t>
  </si>
  <si>
    <t>blinkit</t>
  </si>
  <si>
    <t>eggs+tea+snaks</t>
  </si>
  <si>
    <t>chewngum+pen</t>
  </si>
  <si>
    <t>eggs+coffe</t>
  </si>
  <si>
    <t>curd+milk</t>
  </si>
  <si>
    <t>allo paratha+chiken+2x coffe+frits</t>
  </si>
  <si>
    <t>friuts+omlet+didinner+paneer raratha</t>
  </si>
  <si>
    <t>cold drik+coffe+tea</t>
  </si>
  <si>
    <t>Pg-ahm</t>
  </si>
  <si>
    <t>coffe+chana</t>
  </si>
  <si>
    <t>food</t>
  </si>
  <si>
    <t>fruits+eggs+lasi</t>
  </si>
  <si>
    <t>tream</t>
  </si>
  <si>
    <t>kfc+eggs+snaks+drink</t>
  </si>
  <si>
    <t>AHM-KHR+Petrol</t>
  </si>
  <si>
    <t>Dadaup</t>
  </si>
  <si>
    <t>Case+tempre</t>
  </si>
  <si>
    <t>Rechage</t>
  </si>
  <si>
    <t>lassie treat</t>
  </si>
  <si>
    <t>Aloo</t>
  </si>
  <si>
    <t>Milk&amp;Dahi</t>
  </si>
  <si>
    <t>Drinks</t>
  </si>
  <si>
    <t>Fruits&amp;Dahi</t>
  </si>
  <si>
    <t>Alooparatha+coffe+eggs+sanks</t>
  </si>
  <si>
    <t>fruits&amp;dahi</t>
  </si>
  <si>
    <t>Eggs+swiggy+fruits</t>
  </si>
  <si>
    <t>Blinkit</t>
  </si>
  <si>
    <t>Eggs+coffee+chemgum</t>
  </si>
  <si>
    <t>JJ26</t>
  </si>
  <si>
    <t>coffee+sandwich</t>
  </si>
  <si>
    <t>Biryani</t>
  </si>
  <si>
    <t>Registation for pension</t>
  </si>
  <si>
    <t>Repido+KHR-AHM</t>
  </si>
  <si>
    <t>Eggs+Dinner+Fruits</t>
  </si>
  <si>
    <t>Honreychilly+eggs+coffee</t>
  </si>
  <si>
    <t>Criket staduim</t>
  </si>
  <si>
    <t>Eggs+alloparatha</t>
  </si>
  <si>
    <t>Allo paratha+omlet+cofee+drinks+manchoo</t>
  </si>
  <si>
    <t>Laxmi</t>
  </si>
  <si>
    <t>Oil+Grossries</t>
  </si>
  <si>
    <t>BB</t>
  </si>
  <si>
    <t>Cheungum+dahi+pototo whegs+cofee+swiggy</t>
  </si>
  <si>
    <t>Reliance</t>
  </si>
  <si>
    <t>Eggs+sanks</t>
  </si>
  <si>
    <t>Coffee+samosa+kfc+egggs+snkas</t>
  </si>
  <si>
    <t>Insatmart</t>
  </si>
  <si>
    <t>Swiggy+tae+snkas+</t>
  </si>
  <si>
    <t>amazon</t>
  </si>
  <si>
    <t>Eggs+snkaas+omlet+coffe</t>
  </si>
  <si>
    <t>Dinner+cokacola+pizzaa+snaks</t>
  </si>
  <si>
    <t>mixveg+tea+adani</t>
  </si>
  <si>
    <t>Dominos</t>
  </si>
  <si>
    <t>eggs+jeera+samosa+swiggy</t>
  </si>
  <si>
    <t>Breakfast+omlet+sanks+pizza</t>
  </si>
  <si>
    <t>KFC+Petrol+Drinks</t>
  </si>
  <si>
    <t>Pg rent + deposit Refunded</t>
  </si>
  <si>
    <t>Transport AHM-KHR/ 2</t>
  </si>
  <si>
    <t>MONTHLY EXPENSE SHEET+B1:AG11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</si>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</sst>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1"/>
      <color rgb="FF242424"/>
      <name val="Aptos Narrow"/>
      <charset val="1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000000"/>
      </right>
      <top/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  <diagonal/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1" fillId="3" borderId="9" xfId="0" applyFont="1" applyFill="1" applyBorder="1" applyAlignment="1">
      <alignment horizontal="right" vertical="center" wrapText="1"/>
    </xf>
    <xf numFmtId="0" fontId="1" fillId="3" borderId="10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4" fillId="4" borderId="12" xfId="0" applyFont="1" applyFill="1" applyBorder="1" applyAlignment="1">
      <alignment horizontal="right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5" fillId="0" borderId="0" xfId="0" applyFont="1"/>
    <xf numFmtId="0" fontId="6" fillId="5" borderId="10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vertical="center" wrapText="1"/>
    </xf>
    <xf numFmtId="0" fontId="1" fillId="6" borderId="10" xfId="0" applyFont="1" applyFill="1" applyBorder="1" applyAlignment="1">
      <alignment vertical="center" wrapText="1"/>
    </xf>
    <xf numFmtId="0" fontId="1" fillId="7" borderId="10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26"/>
  <sheetViews>
    <sheetView showGridLines="0" workbookViewId="0">
      <pane xSplit="1" ySplit="3" topLeftCell="BF14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ColWidth="12.5546875" defaultRowHeight="15.75" customHeight="1" x14ac:dyDescent="0.25"/>
  <cols>
    <col min="1" max="1" width="27.6640625" customWidth="1"/>
    <col min="2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>
        <v>262</v>
      </c>
      <c r="K5" s="5"/>
      <c r="L5" s="5"/>
      <c r="M5" s="5">
        <v>25000</v>
      </c>
      <c r="N5" s="5">
        <v>480</v>
      </c>
      <c r="O5" s="5"/>
      <c r="P5" s="5"/>
      <c r="Q5" s="5">
        <v>10</v>
      </c>
      <c r="R5" s="5"/>
      <c r="S5" s="5">
        <v>26</v>
      </c>
      <c r="T5" s="5">
        <v>70</v>
      </c>
      <c r="U5" s="5"/>
      <c r="V5" s="5"/>
      <c r="W5" s="5">
        <v>40</v>
      </c>
      <c r="X5" s="5">
        <v>90</v>
      </c>
      <c r="Y5" s="5">
        <v>10</v>
      </c>
      <c r="Z5" s="5"/>
      <c r="AA5" s="5"/>
      <c r="AB5" s="5"/>
      <c r="AC5" s="5"/>
      <c r="AD5" s="5"/>
      <c r="AE5" s="5"/>
      <c r="AF5" s="5"/>
      <c r="AG5" s="6">
        <f>SUM(B5:AF5)</f>
        <v>25988</v>
      </c>
    </row>
    <row r="6" spans="1:33" ht="52.8" x14ac:dyDescent="0.25">
      <c r="A6" s="8" t="s">
        <v>5</v>
      </c>
      <c r="B6" s="9"/>
      <c r="C6" s="9"/>
      <c r="D6" s="9"/>
      <c r="E6" s="9"/>
      <c r="F6" s="9"/>
      <c r="G6" s="9"/>
      <c r="H6" s="9"/>
      <c r="I6" s="9"/>
      <c r="J6" s="9" t="s">
        <v>6</v>
      </c>
      <c r="K6" s="9"/>
      <c r="L6" s="9"/>
      <c r="M6" s="9" t="s">
        <v>7</v>
      </c>
      <c r="N6" s="9" t="s">
        <v>8</v>
      </c>
      <c r="O6" s="9"/>
      <c r="P6" s="9"/>
      <c r="Q6" s="9" t="s">
        <v>9</v>
      </c>
      <c r="R6" s="9"/>
      <c r="S6" s="9" t="s">
        <v>10</v>
      </c>
      <c r="T6" s="9" t="s">
        <v>11</v>
      </c>
      <c r="U6" s="9"/>
      <c r="V6" s="9"/>
      <c r="W6" s="9" t="s">
        <v>12</v>
      </c>
      <c r="X6" s="9" t="s">
        <v>13</v>
      </c>
      <c r="Y6" s="9" t="s">
        <v>14</v>
      </c>
      <c r="Z6" s="9"/>
      <c r="AA6" s="9"/>
      <c r="AB6" s="9"/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0</v>
      </c>
    </row>
    <row r="8" spans="1:33" ht="13.2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>
        <v>150</v>
      </c>
      <c r="C9" s="5"/>
      <c r="D9" s="5"/>
      <c r="E9" s="5"/>
      <c r="F9" s="5">
        <v>150</v>
      </c>
      <c r="G9" s="5">
        <v>200</v>
      </c>
      <c r="H9" s="5"/>
      <c r="I9" s="5">
        <v>200</v>
      </c>
      <c r="J9" s="5"/>
      <c r="K9" s="5"/>
      <c r="L9" s="5">
        <v>150</v>
      </c>
      <c r="M9" s="5">
        <v>250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>
        <f>SUM(B9:AF9)</f>
        <v>1100</v>
      </c>
    </row>
    <row r="10" spans="1:33" ht="13.2" x14ac:dyDescent="0.25">
      <c r="A10" s="8" t="s">
        <v>5</v>
      </c>
      <c r="B10" s="9" t="s">
        <v>17</v>
      </c>
      <c r="C10" s="9"/>
      <c r="D10" s="9"/>
      <c r="E10" s="9"/>
      <c r="F10" s="9" t="s">
        <v>18</v>
      </c>
      <c r="G10" s="9" t="s">
        <v>18</v>
      </c>
      <c r="H10" s="9"/>
      <c r="I10" s="9" t="s">
        <v>18</v>
      </c>
      <c r="J10" s="9"/>
      <c r="K10" s="9"/>
      <c r="L10" s="9" t="s">
        <v>19</v>
      </c>
      <c r="M10" s="9" t="s">
        <v>20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</row>
    <row r="11" spans="1:33" ht="13.2" x14ac:dyDescent="0.25">
      <c r="A11" s="7" t="s">
        <v>21</v>
      </c>
      <c r="B11" s="5"/>
      <c r="C11" s="5"/>
      <c r="D11" s="5"/>
      <c r="E11" s="5"/>
      <c r="F11" s="5"/>
      <c r="G11" s="5"/>
      <c r="H11" s="5"/>
      <c r="I11" s="5"/>
      <c r="J11" s="5"/>
      <c r="K11" s="5">
        <v>393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486</v>
      </c>
      <c r="AD11" s="5"/>
      <c r="AE11" s="5"/>
      <c r="AF11" s="5"/>
      <c r="AG11" s="6">
        <f>SUM(B11:AF11)</f>
        <v>879</v>
      </c>
    </row>
    <row r="12" spans="1:33" ht="13.2" x14ac:dyDescent="0.25">
      <c r="A12" s="8" t="s">
        <v>5</v>
      </c>
      <c r="B12" s="9"/>
      <c r="C12" s="9"/>
      <c r="D12" s="9"/>
      <c r="E12" s="9"/>
      <c r="F12" s="9"/>
      <c r="G12" s="9"/>
      <c r="H12" s="9"/>
      <c r="I12" s="9"/>
      <c r="J12" s="9"/>
      <c r="K12" s="9" t="s">
        <v>22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 t="s">
        <v>23</v>
      </c>
      <c r="AD12" s="9"/>
      <c r="AE12" s="9"/>
      <c r="AF12" s="9"/>
      <c r="AG12" s="10"/>
    </row>
    <row r="13" spans="1:33" ht="13.2" x14ac:dyDescent="0.25">
      <c r="A13" s="7" t="s">
        <v>24</v>
      </c>
      <c r="B13" s="5">
        <v>20</v>
      </c>
      <c r="C13" s="5">
        <v>20</v>
      </c>
      <c r="D13" s="5"/>
      <c r="E13" s="5">
        <v>45</v>
      </c>
      <c r="F13" s="5">
        <v>30</v>
      </c>
      <c r="G13" s="5">
        <v>75</v>
      </c>
      <c r="H13" s="5">
        <v>25</v>
      </c>
      <c r="I13" s="5">
        <v>25</v>
      </c>
      <c r="J13" s="5">
        <v>40</v>
      </c>
      <c r="K13" s="5">
        <v>40</v>
      </c>
      <c r="L13" s="5"/>
      <c r="M13" s="5"/>
      <c r="N13" s="5">
        <v>20</v>
      </c>
      <c r="O13" s="5">
        <v>110</v>
      </c>
      <c r="P13" s="5">
        <v>5</v>
      </c>
      <c r="Q13" s="5">
        <v>120</v>
      </c>
      <c r="R13" s="5">
        <v>27</v>
      </c>
      <c r="S13" s="5"/>
      <c r="T13" s="5"/>
      <c r="U13" s="5">
        <v>55</v>
      </c>
      <c r="V13" s="5">
        <v>35</v>
      </c>
      <c r="W13" s="5">
        <v>10</v>
      </c>
      <c r="X13" s="5">
        <v>165</v>
      </c>
      <c r="Y13" s="5">
        <v>20</v>
      </c>
      <c r="Z13" s="5">
        <v>35</v>
      </c>
      <c r="AA13" s="5">
        <v>35</v>
      </c>
      <c r="AB13" s="5">
        <v>45</v>
      </c>
      <c r="AC13" s="5">
        <v>20</v>
      </c>
      <c r="AD13" s="5"/>
      <c r="AE13" s="5"/>
      <c r="AF13" s="5"/>
      <c r="AG13" s="6">
        <f>SUM(B13:AF13)</f>
        <v>1022</v>
      </c>
    </row>
    <row r="14" spans="1:33" ht="39.6" x14ac:dyDescent="0.25">
      <c r="A14" s="8" t="s">
        <v>5</v>
      </c>
      <c r="B14" s="9" t="s">
        <v>25</v>
      </c>
      <c r="C14" s="9" t="s">
        <v>25</v>
      </c>
      <c r="D14" s="9"/>
      <c r="E14" s="9" t="s">
        <v>26</v>
      </c>
      <c r="F14" s="9" t="s">
        <v>26</v>
      </c>
      <c r="G14" s="9" t="s">
        <v>27</v>
      </c>
      <c r="H14" s="9" t="s">
        <v>26</v>
      </c>
      <c r="I14" s="9" t="s">
        <v>28</v>
      </c>
      <c r="J14" s="9" t="s">
        <v>29</v>
      </c>
      <c r="K14" s="9" t="s">
        <v>30</v>
      </c>
      <c r="L14" s="9"/>
      <c r="M14" s="9"/>
      <c r="N14" s="9" t="s">
        <v>25</v>
      </c>
      <c r="O14" s="9" t="s">
        <v>31</v>
      </c>
      <c r="P14" s="9" t="s">
        <v>32</v>
      </c>
      <c r="Q14" s="9" t="s">
        <v>33</v>
      </c>
      <c r="R14" s="9" t="s">
        <v>34</v>
      </c>
      <c r="S14" s="9"/>
      <c r="T14" s="9"/>
      <c r="U14" s="9" t="s">
        <v>35</v>
      </c>
      <c r="V14" s="9" t="s">
        <v>36</v>
      </c>
      <c r="W14" s="9" t="s">
        <v>37</v>
      </c>
      <c r="X14" s="9" t="s">
        <v>38</v>
      </c>
      <c r="Y14" s="9" t="s">
        <v>39</v>
      </c>
      <c r="Z14" s="9" t="s">
        <v>40</v>
      </c>
      <c r="AA14" s="9" t="s">
        <v>41</v>
      </c>
      <c r="AB14" s="9" t="s">
        <v>42</v>
      </c>
      <c r="AC14" s="9" t="s">
        <v>43</v>
      </c>
      <c r="AD14" s="9"/>
      <c r="AE14" s="9"/>
      <c r="AF14" s="9"/>
      <c r="AG14" s="10"/>
    </row>
    <row r="15" spans="1:33" ht="13.2" x14ac:dyDescent="0.25">
      <c r="A15" s="7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308</v>
      </c>
      <c r="N15" s="5"/>
      <c r="O15" s="5"/>
      <c r="P15" s="5"/>
      <c r="Q15" s="5"/>
      <c r="R15" s="5"/>
      <c r="S15" s="5"/>
      <c r="T15" s="5"/>
      <c r="U15" s="5"/>
      <c r="V15" s="5"/>
      <c r="W15" s="5">
        <v>25</v>
      </c>
      <c r="X15" s="5"/>
      <c r="Y15" s="5"/>
      <c r="Z15" s="5"/>
      <c r="AA15" s="5"/>
      <c r="AB15" s="5"/>
      <c r="AC15" s="5"/>
      <c r="AD15" s="5"/>
      <c r="AE15" s="5"/>
      <c r="AF15" s="5"/>
      <c r="AG15" s="6">
        <f>SUM(B15:AF15)</f>
        <v>333</v>
      </c>
    </row>
    <row r="16" spans="1:33" ht="26.4" x14ac:dyDescent="0.25">
      <c r="A16" s="8" t="s">
        <v>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 t="s">
        <v>45</v>
      </c>
      <c r="N16" s="9"/>
      <c r="O16" s="9"/>
      <c r="P16" s="9"/>
      <c r="Q16" s="9"/>
      <c r="R16" s="9"/>
      <c r="S16" s="9"/>
      <c r="T16" s="9"/>
      <c r="U16" s="9"/>
      <c r="V16" s="9"/>
      <c r="W16" s="9" t="s">
        <v>46</v>
      </c>
      <c r="X16" s="9"/>
      <c r="Y16" s="9"/>
      <c r="Z16" s="9"/>
      <c r="AA16" s="9"/>
      <c r="AB16" s="9"/>
      <c r="AC16" s="9"/>
      <c r="AD16" s="9"/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>
        <v>40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f>SUM(B17:AF17)</f>
        <v>40</v>
      </c>
    </row>
    <row r="18" spans="1:33" ht="39.6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 t="s">
        <v>48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50</v>
      </c>
      <c r="B21" s="5"/>
      <c r="C21" s="5"/>
      <c r="D21" s="5">
        <v>290</v>
      </c>
      <c r="E21" s="5"/>
      <c r="F21" s="5"/>
      <c r="G21" s="5">
        <v>42</v>
      </c>
      <c r="H21" s="5"/>
      <c r="I21" s="5"/>
      <c r="J21" s="5"/>
      <c r="K21" s="5">
        <v>457</v>
      </c>
      <c r="L21" s="5"/>
      <c r="M21" s="5"/>
      <c r="N21" s="5"/>
      <c r="O21" s="5"/>
      <c r="P21" s="5"/>
      <c r="Q21" s="5"/>
      <c r="R21" s="5"/>
      <c r="S21" s="5">
        <v>100</v>
      </c>
      <c r="T21" s="5"/>
      <c r="U21" s="5"/>
      <c r="V21" s="5"/>
      <c r="W21" s="5"/>
      <c r="X21" s="5">
        <v>25</v>
      </c>
      <c r="Y21" s="5"/>
      <c r="Z21" s="5"/>
      <c r="AA21" s="5"/>
      <c r="AB21" s="5">
        <v>45</v>
      </c>
      <c r="AC21" s="5"/>
      <c r="AD21" s="5"/>
      <c r="AE21" s="5"/>
      <c r="AF21" s="5"/>
      <c r="AG21" s="6">
        <f>SUM(B21:AF21)</f>
        <v>959</v>
      </c>
    </row>
    <row r="22" spans="1:33" ht="26.4" x14ac:dyDescent="0.25">
      <c r="A22" s="8" t="s">
        <v>5</v>
      </c>
      <c r="B22" s="9"/>
      <c r="C22" s="9"/>
      <c r="D22" s="9" t="s">
        <v>51</v>
      </c>
      <c r="E22" s="9"/>
      <c r="F22" s="9"/>
      <c r="G22" s="9" t="s">
        <v>52</v>
      </c>
      <c r="H22" s="9"/>
      <c r="I22" s="9"/>
      <c r="J22" s="9"/>
      <c r="K22" s="9" t="s">
        <v>53</v>
      </c>
      <c r="L22" s="9"/>
      <c r="M22" s="9"/>
      <c r="N22" s="9"/>
      <c r="O22" s="9"/>
      <c r="P22" s="9"/>
      <c r="Q22" s="9"/>
      <c r="R22" s="9"/>
      <c r="S22" s="9" t="s">
        <v>54</v>
      </c>
      <c r="T22" s="9"/>
      <c r="U22" s="9"/>
      <c r="V22" s="9"/>
      <c r="W22" s="9"/>
      <c r="X22" s="9" t="s">
        <v>39</v>
      </c>
      <c r="Y22" s="9"/>
      <c r="Z22" s="9"/>
      <c r="AA22" s="9"/>
      <c r="AB22" s="9" t="s">
        <v>55</v>
      </c>
      <c r="AC22" s="9"/>
      <c r="AD22" s="9"/>
      <c r="AE22" s="9"/>
      <c r="AF22" s="9"/>
      <c r="AG22" s="10"/>
    </row>
    <row r="23" spans="1:33" ht="13.2" x14ac:dyDescent="0.25">
      <c r="A23" s="7" t="s">
        <v>50</v>
      </c>
      <c r="B23" s="5"/>
      <c r="C23" s="5"/>
      <c r="D23" s="5">
        <v>10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10</v>
      </c>
    </row>
    <row r="24" spans="1:33" ht="13.2" x14ac:dyDescent="0.25">
      <c r="A24" s="8" t="s">
        <v>5</v>
      </c>
      <c r="B24" s="9"/>
      <c r="C24" s="9"/>
      <c r="D24" s="9" t="s">
        <v>56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1:33" ht="13.2" x14ac:dyDescent="0.25">
      <c r="A26" s="12" t="s">
        <v>57</v>
      </c>
      <c r="B26" s="13">
        <f t="shared" ref="B26:AG26" si="0">SUM(B5+B7+B9+B11+B13+B15+B17+B19+B21+B23)</f>
        <v>170</v>
      </c>
      <c r="C26" s="13">
        <f t="shared" si="0"/>
        <v>20</v>
      </c>
      <c r="D26" s="13">
        <f t="shared" si="0"/>
        <v>300</v>
      </c>
      <c r="E26" s="13">
        <f t="shared" si="0"/>
        <v>45</v>
      </c>
      <c r="F26" s="13">
        <f t="shared" si="0"/>
        <v>180</v>
      </c>
      <c r="G26" s="13">
        <f t="shared" si="0"/>
        <v>317</v>
      </c>
      <c r="H26" s="13">
        <f t="shared" si="0"/>
        <v>25</v>
      </c>
      <c r="I26" s="13">
        <f t="shared" si="0"/>
        <v>225</v>
      </c>
      <c r="J26" s="13">
        <f t="shared" si="0"/>
        <v>302</v>
      </c>
      <c r="K26" s="13">
        <f t="shared" si="0"/>
        <v>890</v>
      </c>
      <c r="L26" s="13">
        <f t="shared" si="0"/>
        <v>190</v>
      </c>
      <c r="M26" s="13">
        <f t="shared" si="0"/>
        <v>25558</v>
      </c>
      <c r="N26" s="13">
        <f t="shared" si="0"/>
        <v>500</v>
      </c>
      <c r="O26" s="13">
        <f t="shared" si="0"/>
        <v>110</v>
      </c>
      <c r="P26" s="13">
        <f t="shared" si="0"/>
        <v>5</v>
      </c>
      <c r="Q26" s="13">
        <f t="shared" si="0"/>
        <v>130</v>
      </c>
      <c r="R26" s="13">
        <f t="shared" si="0"/>
        <v>27</v>
      </c>
      <c r="S26" s="14">
        <f t="shared" si="0"/>
        <v>126</v>
      </c>
      <c r="T26" s="13">
        <f t="shared" si="0"/>
        <v>70</v>
      </c>
      <c r="U26" s="13">
        <f t="shared" si="0"/>
        <v>55</v>
      </c>
      <c r="V26" s="13">
        <f t="shared" si="0"/>
        <v>35</v>
      </c>
      <c r="W26" s="13">
        <f t="shared" si="0"/>
        <v>75</v>
      </c>
      <c r="X26" s="13">
        <f t="shared" si="0"/>
        <v>280</v>
      </c>
      <c r="Y26" s="13">
        <f t="shared" si="0"/>
        <v>30</v>
      </c>
      <c r="Z26" s="13">
        <f t="shared" si="0"/>
        <v>35</v>
      </c>
      <c r="AA26" s="13">
        <f t="shared" si="0"/>
        <v>35</v>
      </c>
      <c r="AB26" s="13">
        <f t="shared" si="0"/>
        <v>90</v>
      </c>
      <c r="AC26" s="13">
        <f t="shared" si="0"/>
        <v>506</v>
      </c>
      <c r="AD26" s="13">
        <f t="shared" si="0"/>
        <v>0</v>
      </c>
      <c r="AE26" s="13">
        <f t="shared" si="0"/>
        <v>0</v>
      </c>
      <c r="AF26" s="13">
        <f t="shared" si="0"/>
        <v>0</v>
      </c>
      <c r="AG26" s="15">
        <f t="shared" si="0"/>
        <v>30331</v>
      </c>
    </row>
  </sheetData>
  <mergeCells count="2">
    <mergeCell ref="A1:A2"/>
    <mergeCell ref="B1:AG2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0427-7D60-4382-99C7-2A4E69371990}">
  <sheetPr>
    <outlinePr summaryBelow="0" summaryRight="0"/>
  </sheetPr>
  <dimension ref="A1:AG26"/>
  <sheetViews>
    <sheetView showGridLines="0" workbookViewId="0">
      <pane xSplit="1" ySplit="3" topLeftCell="V12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ColWidth="12.5546875" defaultRowHeight="15.75" customHeight="1" x14ac:dyDescent="0.25"/>
  <cols>
    <col min="1" max="1" width="27.6640625" customWidth="1"/>
    <col min="2" max="25" width="9.33203125" customWidth="1"/>
    <col min="26" max="27" width="11.6640625" customWidth="1"/>
    <col min="28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>
        <v>10</v>
      </c>
      <c r="E5" s="5"/>
      <c r="F5" s="5">
        <v>20000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>
        <f>SUM(B5:AF5)</f>
        <v>20010</v>
      </c>
    </row>
    <row r="6" spans="1:33" ht="13.2" x14ac:dyDescent="0.25">
      <c r="A6" s="8" t="s">
        <v>5</v>
      </c>
      <c r="B6" s="9"/>
      <c r="C6" s="9"/>
      <c r="D6" s="9" t="s">
        <v>58</v>
      </c>
      <c r="E6" s="9"/>
      <c r="F6" s="9" t="s">
        <v>59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>
        <v>150</v>
      </c>
      <c r="E7" s="5"/>
      <c r="F7" s="5"/>
      <c r="G7" s="5"/>
      <c r="H7" s="5"/>
      <c r="I7" s="5"/>
      <c r="J7" s="5">
        <v>4000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4150</v>
      </c>
    </row>
    <row r="8" spans="1:33" ht="26.4" x14ac:dyDescent="0.25">
      <c r="A8" s="8" t="s">
        <v>5</v>
      </c>
      <c r="B8" s="9"/>
      <c r="C8" s="9"/>
      <c r="D8" s="9" t="s">
        <v>60</v>
      </c>
      <c r="E8" s="9"/>
      <c r="F8" s="9"/>
      <c r="G8" s="9"/>
      <c r="H8" s="9"/>
      <c r="I8" s="9"/>
      <c r="J8" s="9" t="s">
        <v>61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>
        <v>330</v>
      </c>
      <c r="C9" s="5"/>
      <c r="D9" s="5"/>
      <c r="E9" s="5">
        <v>200</v>
      </c>
      <c r="F9" s="5">
        <v>90</v>
      </c>
      <c r="G9" s="5"/>
      <c r="H9" s="5"/>
      <c r="I9" s="5">
        <v>25</v>
      </c>
      <c r="J9" s="5">
        <v>40</v>
      </c>
      <c r="K9" s="5"/>
      <c r="L9" s="5"/>
      <c r="M9" s="5"/>
      <c r="N9" s="5"/>
      <c r="O9" s="5"/>
      <c r="P9" s="5">
        <v>25</v>
      </c>
      <c r="Q9" s="5"/>
      <c r="R9" s="5">
        <v>40</v>
      </c>
      <c r="S9" s="5"/>
      <c r="T9" s="5"/>
      <c r="U9" s="5"/>
      <c r="V9" s="5"/>
      <c r="W9" s="5">
        <v>300</v>
      </c>
      <c r="X9" s="5"/>
      <c r="Y9" s="5">
        <v>200</v>
      </c>
      <c r="Z9" s="5"/>
      <c r="AA9" s="5">
        <v>200</v>
      </c>
      <c r="AB9" s="5"/>
      <c r="AC9" s="5"/>
      <c r="AD9" s="5">
        <v>57</v>
      </c>
      <c r="AE9" s="5"/>
      <c r="AF9" s="5"/>
      <c r="AG9" s="6">
        <f>SUM(B9:AF9)</f>
        <v>1507</v>
      </c>
    </row>
    <row r="10" spans="1:33" ht="26.4" x14ac:dyDescent="0.25">
      <c r="A10" s="8" t="s">
        <v>5</v>
      </c>
      <c r="B10" s="9" t="s">
        <v>62</v>
      </c>
      <c r="C10" s="9"/>
      <c r="D10" s="9"/>
      <c r="E10" s="9" t="s">
        <v>62</v>
      </c>
      <c r="F10" s="9" t="s">
        <v>10</v>
      </c>
      <c r="G10" s="9"/>
      <c r="H10" s="9"/>
      <c r="I10" s="9" t="s">
        <v>10</v>
      </c>
      <c r="J10" s="9" t="s">
        <v>10</v>
      </c>
      <c r="K10" s="9"/>
      <c r="L10" s="9"/>
      <c r="M10" s="9"/>
      <c r="N10" s="9"/>
      <c r="O10" s="9"/>
      <c r="P10" s="9" t="s">
        <v>63</v>
      </c>
      <c r="Q10" s="9"/>
      <c r="R10" s="9" t="s">
        <v>64</v>
      </c>
      <c r="S10" s="9"/>
      <c r="T10" s="9"/>
      <c r="U10" s="9"/>
      <c r="V10" s="9"/>
      <c r="W10" s="9" t="s">
        <v>65</v>
      </c>
      <c r="X10" s="9"/>
      <c r="Y10" s="9" t="s">
        <v>66</v>
      </c>
      <c r="Z10" s="9"/>
      <c r="AA10" s="9" t="s">
        <v>67</v>
      </c>
      <c r="AB10" s="9"/>
      <c r="AC10" s="9"/>
      <c r="AD10" s="9" t="s">
        <v>68</v>
      </c>
      <c r="AE10" s="9"/>
      <c r="AF10" s="9"/>
      <c r="AG10" s="10"/>
    </row>
    <row r="11" spans="1:33" ht="13.2" x14ac:dyDescent="0.25">
      <c r="A11" s="7" t="s">
        <v>21</v>
      </c>
      <c r="B11" s="5"/>
      <c r="C11" s="5"/>
      <c r="D11" s="5"/>
      <c r="E11" s="5"/>
      <c r="F11" s="5"/>
      <c r="G11" s="5">
        <v>20</v>
      </c>
      <c r="H11" s="5"/>
      <c r="I11" s="5"/>
      <c r="J11" s="5"/>
      <c r="K11" s="5"/>
      <c r="L11" s="5">
        <v>10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25</v>
      </c>
      <c r="AC11" s="5"/>
      <c r="AD11" s="5"/>
      <c r="AE11" s="5">
        <v>10</v>
      </c>
      <c r="AF11" s="5"/>
      <c r="AG11" s="6">
        <f>SUM(B11:AF11)</f>
        <v>65</v>
      </c>
    </row>
    <row r="12" spans="1:33" ht="26.4" x14ac:dyDescent="0.25">
      <c r="A12" s="8" t="s">
        <v>5</v>
      </c>
      <c r="B12" s="9"/>
      <c r="C12" s="9"/>
      <c r="D12" s="9"/>
      <c r="E12" s="9"/>
      <c r="F12" s="9"/>
      <c r="G12" s="9" t="s">
        <v>69</v>
      </c>
      <c r="H12" s="9"/>
      <c r="I12" s="9"/>
      <c r="J12" s="9"/>
      <c r="K12" s="9"/>
      <c r="L12" s="9" t="s">
        <v>70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 t="s">
        <v>14</v>
      </c>
      <c r="AC12" s="9"/>
      <c r="AD12" s="9"/>
      <c r="AE12" s="9" t="s">
        <v>71</v>
      </c>
      <c r="AF12" s="9"/>
      <c r="AG12" s="10"/>
    </row>
    <row r="13" spans="1:33" ht="13.2" x14ac:dyDescent="0.25">
      <c r="A13" s="7" t="s">
        <v>24</v>
      </c>
      <c r="B13" s="5">
        <v>75</v>
      </c>
      <c r="C13" s="5"/>
      <c r="D13" s="5"/>
      <c r="E13" s="5">
        <v>112</v>
      </c>
      <c r="F13" s="5">
        <v>60</v>
      </c>
      <c r="G13" s="5">
        <v>15</v>
      </c>
      <c r="H13" s="5">
        <v>75</v>
      </c>
      <c r="I13" s="5">
        <v>45</v>
      </c>
      <c r="J13" s="5">
        <v>20</v>
      </c>
      <c r="K13" s="5"/>
      <c r="L13" s="5">
        <v>40</v>
      </c>
      <c r="M13" s="5">
        <v>60</v>
      </c>
      <c r="N13" s="5">
        <v>15</v>
      </c>
      <c r="O13" s="5">
        <v>115</v>
      </c>
      <c r="P13" s="5">
        <v>75</v>
      </c>
      <c r="Q13" s="5"/>
      <c r="R13" s="5">
        <v>50</v>
      </c>
      <c r="S13" s="5">
        <v>50</v>
      </c>
      <c r="T13" s="5">
        <v>20</v>
      </c>
      <c r="U13" s="5">
        <v>10</v>
      </c>
      <c r="V13" s="5">
        <v>105</v>
      </c>
      <c r="W13" s="5">
        <v>45</v>
      </c>
      <c r="X13" s="5"/>
      <c r="Y13" s="5">
        <v>44</v>
      </c>
      <c r="Z13" s="5"/>
      <c r="AA13" s="5">
        <v>256.5</v>
      </c>
      <c r="AB13" s="5">
        <v>30</v>
      </c>
      <c r="AC13" s="5">
        <v>40</v>
      </c>
      <c r="AD13" s="5">
        <v>60</v>
      </c>
      <c r="AE13" s="5">
        <v>70</v>
      </c>
      <c r="AF13" s="5"/>
      <c r="AG13" s="6">
        <f>SUM(B13:AF13)</f>
        <v>1487.5</v>
      </c>
    </row>
    <row r="14" spans="1:33" ht="52.8" x14ac:dyDescent="0.25">
      <c r="A14" s="8" t="s">
        <v>5</v>
      </c>
      <c r="B14" s="9" t="s">
        <v>72</v>
      </c>
      <c r="C14" s="9"/>
      <c r="D14" s="9"/>
      <c r="E14" s="9" t="s">
        <v>73</v>
      </c>
      <c r="F14" s="9" t="s">
        <v>74</v>
      </c>
      <c r="G14" s="9" t="s">
        <v>75</v>
      </c>
      <c r="H14" s="9" t="s">
        <v>76</v>
      </c>
      <c r="I14" s="9" t="s">
        <v>77</v>
      </c>
      <c r="J14" s="9" t="s">
        <v>78</v>
      </c>
      <c r="K14" s="9"/>
      <c r="L14" s="9" t="s">
        <v>79</v>
      </c>
      <c r="M14" s="9" t="s">
        <v>80</v>
      </c>
      <c r="N14" s="9" t="s">
        <v>81</v>
      </c>
      <c r="O14" s="9" t="s">
        <v>82</v>
      </c>
      <c r="P14" s="9" t="s">
        <v>83</v>
      </c>
      <c r="Q14" s="9"/>
      <c r="R14" s="9" t="s">
        <v>84</v>
      </c>
      <c r="S14" s="9" t="s">
        <v>85</v>
      </c>
      <c r="T14" s="9" t="s">
        <v>86</v>
      </c>
      <c r="U14" s="9" t="s">
        <v>87</v>
      </c>
      <c r="V14" s="9" t="s">
        <v>88</v>
      </c>
      <c r="W14" s="9" t="s">
        <v>89</v>
      </c>
      <c r="X14" s="9"/>
      <c r="Y14" s="9" t="s">
        <v>90</v>
      </c>
      <c r="Z14" s="9"/>
      <c r="AA14" s="9" t="s">
        <v>91</v>
      </c>
      <c r="AB14" s="9" t="s">
        <v>92</v>
      </c>
      <c r="AC14" s="9" t="s">
        <v>93</v>
      </c>
      <c r="AD14" s="9" t="s">
        <v>94</v>
      </c>
      <c r="AE14" s="9" t="s">
        <v>95</v>
      </c>
      <c r="AF14" s="9"/>
      <c r="AG14" s="10"/>
    </row>
    <row r="15" spans="1:33" ht="13.2" x14ac:dyDescent="0.25">
      <c r="A15" s="7" t="s">
        <v>44</v>
      </c>
      <c r="B15" s="5"/>
      <c r="C15" s="5"/>
      <c r="D15" s="5"/>
      <c r="E15" s="5">
        <v>800</v>
      </c>
      <c r="F15" s="5"/>
      <c r="G15" s="5"/>
      <c r="H15" s="5"/>
      <c r="I15" s="5"/>
      <c r="J15" s="5">
        <v>100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>
        <v>50</v>
      </c>
      <c r="AA15" s="5"/>
      <c r="AB15" s="5"/>
      <c r="AC15" s="5"/>
      <c r="AD15" s="5"/>
      <c r="AE15" s="5"/>
      <c r="AF15" s="5"/>
      <c r="AG15" s="6">
        <f>SUM(B15:AF15)</f>
        <v>950</v>
      </c>
    </row>
    <row r="16" spans="1:33" ht="13.2" x14ac:dyDescent="0.25">
      <c r="A16" s="8" t="s">
        <v>5</v>
      </c>
      <c r="B16" s="9"/>
      <c r="C16" s="9"/>
      <c r="D16" s="9"/>
      <c r="E16" s="9" t="s">
        <v>96</v>
      </c>
      <c r="F16" s="9"/>
      <c r="G16" s="9"/>
      <c r="H16" s="9"/>
      <c r="I16" s="9"/>
      <c r="J16" s="9" t="s">
        <v>97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 t="s">
        <v>98</v>
      </c>
      <c r="AA16" s="9"/>
      <c r="AB16" s="9"/>
      <c r="AC16" s="9"/>
      <c r="AD16" s="9"/>
      <c r="AE16" s="9"/>
      <c r="AF16" s="9"/>
      <c r="AG16" s="10"/>
    </row>
    <row r="17" spans="1:33" ht="13.2" x14ac:dyDescent="0.25">
      <c r="A17" s="7" t="s">
        <v>47</v>
      </c>
      <c r="B17" s="5"/>
      <c r="C17" s="5">
        <v>5</v>
      </c>
      <c r="D17" s="5"/>
      <c r="E17" s="5">
        <v>10</v>
      </c>
      <c r="F17" s="5">
        <v>10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350</v>
      </c>
      <c r="U17" s="5"/>
      <c r="V17" s="5"/>
      <c r="W17" s="5">
        <v>80</v>
      </c>
      <c r="X17" s="5"/>
      <c r="Y17" s="5"/>
      <c r="Z17" s="5"/>
      <c r="AA17" s="5"/>
      <c r="AB17" s="5">
        <v>4</v>
      </c>
      <c r="AC17" s="5"/>
      <c r="AD17" s="5"/>
      <c r="AE17" s="5">
        <v>300</v>
      </c>
      <c r="AF17" s="5"/>
      <c r="AG17" s="6">
        <f>SUM(B17:AF17)</f>
        <v>759</v>
      </c>
    </row>
    <row r="18" spans="1:33" ht="26.4" x14ac:dyDescent="0.25">
      <c r="A18" s="8" t="s">
        <v>5</v>
      </c>
      <c r="B18" s="9"/>
      <c r="C18" s="9" t="s">
        <v>99</v>
      </c>
      <c r="D18" s="9"/>
      <c r="E18" s="9" t="s">
        <v>100</v>
      </c>
      <c r="F18" s="9" t="s">
        <v>101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 t="s">
        <v>102</v>
      </c>
      <c r="U18" s="9"/>
      <c r="V18" s="9"/>
      <c r="W18" s="9" t="s">
        <v>103</v>
      </c>
      <c r="X18" s="9"/>
      <c r="Y18" s="9"/>
      <c r="Z18" s="9"/>
      <c r="AA18" s="9"/>
      <c r="AB18" s="9" t="s">
        <v>104</v>
      </c>
      <c r="AC18" s="9"/>
      <c r="AD18" s="9"/>
      <c r="AE18" s="9" t="s">
        <v>105</v>
      </c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50</v>
      </c>
      <c r="B21" s="5">
        <v>56</v>
      </c>
      <c r="C21" s="5"/>
      <c r="D21" s="5"/>
      <c r="E21" s="5">
        <v>10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66</v>
      </c>
    </row>
    <row r="22" spans="1:33" ht="26.4" x14ac:dyDescent="0.25">
      <c r="A22" s="8" t="s">
        <v>5</v>
      </c>
      <c r="B22" s="9" t="s">
        <v>106</v>
      </c>
      <c r="C22" s="9"/>
      <c r="D22" s="9"/>
      <c r="E22" s="9" t="s">
        <v>12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90</v>
      </c>
      <c r="AB23" s="5"/>
      <c r="AC23" s="5"/>
      <c r="AD23" s="5"/>
      <c r="AE23" s="5"/>
      <c r="AF23" s="5"/>
      <c r="AG23" s="6">
        <f>SUM(B23:AF23)</f>
        <v>90</v>
      </c>
    </row>
    <row r="24" spans="1:33" ht="13.2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 t="s">
        <v>108</v>
      </c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1:33" ht="13.2" x14ac:dyDescent="0.25">
      <c r="A26" s="12" t="s">
        <v>57</v>
      </c>
      <c r="B26" s="13">
        <f t="shared" ref="B26:AG26" si="0">SUM(B5+B7+B9+B11+B13+B15+B17+B19+B21+B23)</f>
        <v>461</v>
      </c>
      <c r="C26" s="13">
        <f t="shared" si="0"/>
        <v>5</v>
      </c>
      <c r="D26" s="13">
        <f t="shared" si="0"/>
        <v>160</v>
      </c>
      <c r="E26" s="13">
        <f t="shared" si="0"/>
        <v>1132</v>
      </c>
      <c r="F26" s="13">
        <f t="shared" si="0"/>
        <v>20160</v>
      </c>
      <c r="G26" s="13">
        <f t="shared" si="0"/>
        <v>35</v>
      </c>
      <c r="H26" s="13">
        <f t="shared" si="0"/>
        <v>75</v>
      </c>
      <c r="I26" s="13">
        <f t="shared" si="0"/>
        <v>70</v>
      </c>
      <c r="J26" s="13">
        <f t="shared" si="0"/>
        <v>4160</v>
      </c>
      <c r="K26" s="13">
        <f t="shared" si="0"/>
        <v>0</v>
      </c>
      <c r="L26" s="13">
        <f t="shared" si="0"/>
        <v>50</v>
      </c>
      <c r="M26" s="13">
        <f t="shared" si="0"/>
        <v>60</v>
      </c>
      <c r="N26" s="13">
        <f t="shared" si="0"/>
        <v>15</v>
      </c>
      <c r="O26" s="13">
        <f t="shared" si="0"/>
        <v>115</v>
      </c>
      <c r="P26" s="13">
        <f t="shared" si="0"/>
        <v>100</v>
      </c>
      <c r="Q26" s="13">
        <f t="shared" si="0"/>
        <v>0</v>
      </c>
      <c r="R26" s="13">
        <f t="shared" si="0"/>
        <v>90</v>
      </c>
      <c r="S26" s="14">
        <f t="shared" si="0"/>
        <v>50</v>
      </c>
      <c r="T26" s="13">
        <f t="shared" si="0"/>
        <v>370</v>
      </c>
      <c r="U26" s="13">
        <f t="shared" si="0"/>
        <v>10</v>
      </c>
      <c r="V26" s="13">
        <f t="shared" si="0"/>
        <v>105</v>
      </c>
      <c r="W26" s="13">
        <f t="shared" si="0"/>
        <v>425</v>
      </c>
      <c r="X26" s="13">
        <f t="shared" si="0"/>
        <v>0</v>
      </c>
      <c r="Y26" s="13">
        <f t="shared" si="0"/>
        <v>244</v>
      </c>
      <c r="Z26" s="13">
        <f t="shared" si="0"/>
        <v>50</v>
      </c>
      <c r="AA26" s="13">
        <f t="shared" si="0"/>
        <v>546.5</v>
      </c>
      <c r="AB26" s="13">
        <f>SUM(AB5+AB7+AB9+AB11+AB13+AB15+AB17+AB19+AB21+AB23)</f>
        <v>59</v>
      </c>
      <c r="AC26" s="13">
        <f t="shared" si="0"/>
        <v>40</v>
      </c>
      <c r="AD26" s="13">
        <f t="shared" si="0"/>
        <v>117</v>
      </c>
      <c r="AE26" s="13">
        <f>SUM(AE5+AE7+AE9+AE11+AE13+AE15+AE17+AE19+AE21+AE23)</f>
        <v>380</v>
      </c>
      <c r="AF26" s="13">
        <f t="shared" si="0"/>
        <v>0</v>
      </c>
      <c r="AG26" s="15">
        <f t="shared" si="0"/>
        <v>29084.5</v>
      </c>
    </row>
  </sheetData>
  <mergeCells count="2">
    <mergeCell ref="A1:A2"/>
    <mergeCell ref="B1:AG2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8074-40F3-4137-8FF4-4C22B152D176}">
  <sheetPr>
    <outlinePr summaryBelow="0" summaryRight="0"/>
  </sheetPr>
  <dimension ref="A1:AG26"/>
  <sheetViews>
    <sheetView showGridLines="0" workbookViewId="0">
      <pane xSplit="1" ySplit="3" topLeftCell="AE14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ColWidth="12.5546875" defaultRowHeight="15.75" customHeight="1" x14ac:dyDescent="0.25"/>
  <cols>
    <col min="1" max="1" width="27.6640625" customWidth="1"/>
    <col min="2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>
        <v>480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1000</v>
      </c>
      <c r="AF5" s="5"/>
      <c r="AG5" s="6">
        <f>SUM(B5:AF5)</f>
        <v>1480</v>
      </c>
    </row>
    <row r="6" spans="1:33" ht="13.2" x14ac:dyDescent="0.25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 t="s">
        <v>109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 t="s">
        <v>110</v>
      </c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>
        <v>200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200</v>
      </c>
    </row>
    <row r="8" spans="1:33" ht="13.2" x14ac:dyDescent="0.25">
      <c r="A8" s="8" t="s">
        <v>5</v>
      </c>
      <c r="B8" s="9"/>
      <c r="C8" s="9"/>
      <c r="D8" s="9"/>
      <c r="E8" s="9"/>
      <c r="F8" s="9"/>
      <c r="G8" s="9"/>
      <c r="H8" s="9" t="s">
        <v>111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130</v>
      </c>
      <c r="M9" s="5"/>
      <c r="N9" s="5">
        <v>50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>
        <v>67</v>
      </c>
      <c r="AA9" s="5"/>
      <c r="AB9" s="5">
        <v>68</v>
      </c>
      <c r="AC9" s="5"/>
      <c r="AD9" s="5">
        <v>50</v>
      </c>
      <c r="AE9" s="5">
        <v>230</v>
      </c>
      <c r="AF9" s="5"/>
      <c r="AG9" s="6">
        <f>SUM(B9:AF9)</f>
        <v>595</v>
      </c>
    </row>
    <row r="10" spans="1:33" ht="26.4" x14ac:dyDescent="0.25">
      <c r="A10" s="8" t="s">
        <v>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 t="s">
        <v>112</v>
      </c>
      <c r="M10" s="9"/>
      <c r="N10" s="9" t="s">
        <v>18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 t="s">
        <v>113</v>
      </c>
      <c r="AA10" s="9"/>
      <c r="AB10" s="9" t="s">
        <v>63</v>
      </c>
      <c r="AC10" s="9"/>
      <c r="AD10" s="9" t="s">
        <v>114</v>
      </c>
      <c r="AE10" s="9" t="s">
        <v>115</v>
      </c>
      <c r="AF10" s="9"/>
      <c r="AG10" s="10"/>
    </row>
    <row r="11" spans="1:33" ht="13.2" x14ac:dyDescent="0.25">
      <c r="A11" s="7" t="s">
        <v>21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45</v>
      </c>
      <c r="U11" s="5"/>
      <c r="V11" s="5"/>
      <c r="W11" s="5"/>
      <c r="X11" s="5"/>
      <c r="Y11" s="5"/>
      <c r="Z11" s="5">
        <v>10</v>
      </c>
      <c r="AA11" s="5"/>
      <c r="AB11" s="5"/>
      <c r="AC11" s="5">
        <v>48</v>
      </c>
      <c r="AD11" s="5"/>
      <c r="AE11" s="5"/>
      <c r="AF11" s="5"/>
      <c r="AG11" s="6">
        <f>SUM(B11:AF11)</f>
        <v>103</v>
      </c>
    </row>
    <row r="12" spans="1:33" ht="26.4" x14ac:dyDescent="0.25">
      <c r="A12" s="8" t="s">
        <v>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 t="s">
        <v>116</v>
      </c>
      <c r="U12" s="9"/>
      <c r="V12" s="9"/>
      <c r="W12" s="9"/>
      <c r="X12" s="9"/>
      <c r="Y12" s="9"/>
      <c r="Z12" s="9" t="s">
        <v>117</v>
      </c>
      <c r="AA12" s="9"/>
      <c r="AB12" s="9"/>
      <c r="AC12" s="9" t="s">
        <v>118</v>
      </c>
      <c r="AD12" s="9"/>
      <c r="AE12" s="9"/>
      <c r="AF12" s="9"/>
      <c r="AG12" s="10"/>
    </row>
    <row r="13" spans="1:33" ht="13.2" x14ac:dyDescent="0.25">
      <c r="A13" s="7" t="s">
        <v>24</v>
      </c>
      <c r="B13" s="5">
        <v>20</v>
      </c>
      <c r="C13" s="5">
        <v>35</v>
      </c>
      <c r="D13" s="5">
        <v>42</v>
      </c>
      <c r="E13" s="5"/>
      <c r="F13" s="5">
        <v>82</v>
      </c>
      <c r="G13" s="5">
        <v>72</v>
      </c>
      <c r="H13" s="5"/>
      <c r="I13" s="5">
        <v>70</v>
      </c>
      <c r="J13" s="5">
        <v>62</v>
      </c>
      <c r="K13" s="5">
        <v>90</v>
      </c>
      <c r="L13" s="5">
        <v>34</v>
      </c>
      <c r="M13" s="5"/>
      <c r="N13" s="5">
        <v>200</v>
      </c>
      <c r="O13" s="5">
        <v>35</v>
      </c>
      <c r="P13" s="5">
        <v>45</v>
      </c>
      <c r="Q13" s="5">
        <v>35</v>
      </c>
      <c r="R13" s="5">
        <v>110</v>
      </c>
      <c r="S13" s="5">
        <v>55</v>
      </c>
      <c r="T13" s="5">
        <v>15</v>
      </c>
      <c r="U13" s="5"/>
      <c r="V13" s="5"/>
      <c r="W13" s="5"/>
      <c r="X13" s="5">
        <v>35</v>
      </c>
      <c r="Y13" s="5">
        <v>60</v>
      </c>
      <c r="Z13" s="5">
        <v>30</v>
      </c>
      <c r="AA13" s="5">
        <v>37</v>
      </c>
      <c r="AB13" s="5">
        <v>255</v>
      </c>
      <c r="AC13" s="5">
        <v>10</v>
      </c>
      <c r="AD13" s="5">
        <v>190</v>
      </c>
      <c r="AE13" s="5">
        <v>169</v>
      </c>
      <c r="AF13" s="5"/>
      <c r="AG13" s="6">
        <f>SUM(B13:AF13)</f>
        <v>1788</v>
      </c>
    </row>
    <row r="14" spans="1:33" ht="52.8" x14ac:dyDescent="0.25">
      <c r="A14" s="8" t="s">
        <v>5</v>
      </c>
      <c r="B14" s="9" t="s">
        <v>119</v>
      </c>
      <c r="C14" s="9" t="s">
        <v>36</v>
      </c>
      <c r="D14" s="9" t="s">
        <v>120</v>
      </c>
      <c r="E14" s="9"/>
      <c r="F14" s="9" t="s">
        <v>121</v>
      </c>
      <c r="G14" s="9" t="s">
        <v>122</v>
      </c>
      <c r="H14" s="9"/>
      <c r="I14" s="9" t="s">
        <v>123</v>
      </c>
      <c r="J14" s="9" t="s">
        <v>124</v>
      </c>
      <c r="K14" s="9" t="s">
        <v>125</v>
      </c>
      <c r="L14" s="9" t="s">
        <v>26</v>
      </c>
      <c r="M14" s="9"/>
      <c r="N14" s="9" t="s">
        <v>126</v>
      </c>
      <c r="O14" s="9" t="s">
        <v>39</v>
      </c>
      <c r="P14" s="9" t="s">
        <v>127</v>
      </c>
      <c r="Q14" s="9" t="s">
        <v>39</v>
      </c>
      <c r="R14" s="9" t="s">
        <v>128</v>
      </c>
      <c r="S14" s="9" t="s">
        <v>129</v>
      </c>
      <c r="T14" s="9" t="s">
        <v>130</v>
      </c>
      <c r="U14" s="9"/>
      <c r="V14" s="9"/>
      <c r="W14" s="9"/>
      <c r="X14" s="9" t="s">
        <v>26</v>
      </c>
      <c r="Y14" s="9" t="s">
        <v>26</v>
      </c>
      <c r="Z14" s="9" t="s">
        <v>26</v>
      </c>
      <c r="AA14" s="9" t="s">
        <v>26</v>
      </c>
      <c r="AB14" s="9" t="s">
        <v>131</v>
      </c>
      <c r="AC14" s="9" t="s">
        <v>39</v>
      </c>
      <c r="AD14" s="9" t="s">
        <v>132</v>
      </c>
      <c r="AE14" s="9" t="s">
        <v>133</v>
      </c>
      <c r="AF14" s="9"/>
      <c r="AG14" s="10"/>
    </row>
    <row r="15" spans="1:33" ht="13.2" x14ac:dyDescent="0.25">
      <c r="A15" s="7" t="s">
        <v>44</v>
      </c>
      <c r="B15" s="5"/>
      <c r="C15" s="5"/>
      <c r="D15" s="5"/>
      <c r="E15" s="5"/>
      <c r="F15" s="5"/>
      <c r="G15" s="5">
        <v>30</v>
      </c>
      <c r="H15" s="5">
        <v>70</v>
      </c>
      <c r="I15" s="5"/>
      <c r="J15" s="5"/>
      <c r="K15" s="5"/>
      <c r="L15" s="5"/>
      <c r="M15" s="5"/>
      <c r="N15" s="5"/>
      <c r="O15" s="5">
        <v>60</v>
      </c>
      <c r="P15" s="5">
        <v>101</v>
      </c>
      <c r="Q15" s="5"/>
      <c r="R15" s="5"/>
      <c r="S15" s="5"/>
      <c r="T15" s="5">
        <v>150</v>
      </c>
      <c r="U15" s="5"/>
      <c r="V15" s="5"/>
      <c r="W15" s="5"/>
      <c r="X15" s="5">
        <v>45</v>
      </c>
      <c r="Y15" s="5">
        <v>156</v>
      </c>
      <c r="Z15" s="5"/>
      <c r="AA15" s="5"/>
      <c r="AB15" s="5"/>
      <c r="AC15" s="5">
        <v>109</v>
      </c>
      <c r="AD15" s="5"/>
      <c r="AE15" s="5"/>
      <c r="AF15" s="5"/>
      <c r="AG15" s="6">
        <f>SUM(B15:AF15)</f>
        <v>721</v>
      </c>
    </row>
    <row r="16" spans="1:33" ht="26.4" x14ac:dyDescent="0.25">
      <c r="A16" s="8" t="s">
        <v>5</v>
      </c>
      <c r="B16" s="9"/>
      <c r="C16" s="9"/>
      <c r="D16" s="9"/>
      <c r="E16" s="9"/>
      <c r="F16" s="9"/>
      <c r="G16" s="9" t="s">
        <v>134</v>
      </c>
      <c r="H16" s="9" t="s">
        <v>135</v>
      </c>
      <c r="I16" s="9"/>
      <c r="J16" s="9"/>
      <c r="K16" s="9"/>
      <c r="L16" s="9"/>
      <c r="M16" s="9"/>
      <c r="N16" s="9"/>
      <c r="O16" s="9" t="s">
        <v>136</v>
      </c>
      <c r="P16" s="9" t="s">
        <v>137</v>
      </c>
      <c r="Q16" s="9"/>
      <c r="R16" s="9"/>
      <c r="S16" s="9"/>
      <c r="T16" s="9" t="s">
        <v>138</v>
      </c>
      <c r="U16" s="9"/>
      <c r="V16" s="9"/>
      <c r="W16" s="9"/>
      <c r="X16" s="9" t="s">
        <v>84</v>
      </c>
      <c r="Y16" s="9" t="s">
        <v>139</v>
      </c>
      <c r="Z16" s="9"/>
      <c r="AA16" s="9"/>
      <c r="AB16" s="9"/>
      <c r="AC16" s="9" t="s">
        <v>138</v>
      </c>
      <c r="AD16" s="9"/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5000</v>
      </c>
      <c r="Q17" s="5"/>
      <c r="R17" s="5"/>
      <c r="S17" s="5"/>
      <c r="T17" s="5">
        <v>202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f>SUM(B17:AF17)</f>
        <v>5202</v>
      </c>
    </row>
    <row r="18" spans="1:33" ht="26.4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 t="s">
        <v>140</v>
      </c>
      <c r="Q18" s="9"/>
      <c r="R18" s="9"/>
      <c r="S18" s="9"/>
      <c r="T18" s="9" t="s">
        <v>23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50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100</v>
      </c>
      <c r="M21" s="5">
        <v>10</v>
      </c>
      <c r="N21" s="5">
        <v>15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125</v>
      </c>
    </row>
    <row r="22" spans="1:33" ht="26.4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 t="s">
        <v>141</v>
      </c>
      <c r="M22" s="9" t="s">
        <v>142</v>
      </c>
      <c r="N22" s="9" t="s">
        <v>75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47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198</v>
      </c>
      <c r="AE23" s="5"/>
      <c r="AF23" s="5"/>
      <c r="AG23" s="6">
        <f>SUM(B23:AF23)</f>
        <v>245</v>
      </c>
    </row>
    <row r="24" spans="1:33" ht="13.2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 t="s">
        <v>143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 t="s">
        <v>144</v>
      </c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1:33" ht="13.2" x14ac:dyDescent="0.25">
      <c r="A26" s="12" t="s">
        <v>57</v>
      </c>
      <c r="B26" s="13">
        <f t="shared" ref="B26:AG26" si="0">SUM(B5+B7+B9+B11+B13+B15+B17+B19+B21+B23)</f>
        <v>20</v>
      </c>
      <c r="C26" s="13">
        <f t="shared" si="0"/>
        <v>35</v>
      </c>
      <c r="D26" s="13">
        <f t="shared" si="0"/>
        <v>42</v>
      </c>
      <c r="E26" s="13">
        <f t="shared" si="0"/>
        <v>0</v>
      </c>
      <c r="F26" s="13">
        <f t="shared" si="0"/>
        <v>82</v>
      </c>
      <c r="G26" s="13">
        <f t="shared" si="0"/>
        <v>102</v>
      </c>
      <c r="H26" s="13">
        <f t="shared" si="0"/>
        <v>270</v>
      </c>
      <c r="I26" s="13">
        <f t="shared" si="0"/>
        <v>70</v>
      </c>
      <c r="J26" s="13">
        <f t="shared" si="0"/>
        <v>62</v>
      </c>
      <c r="K26" s="13">
        <f t="shared" si="0"/>
        <v>570</v>
      </c>
      <c r="L26" s="13">
        <f t="shared" si="0"/>
        <v>264</v>
      </c>
      <c r="M26" s="13">
        <f t="shared" si="0"/>
        <v>10</v>
      </c>
      <c r="N26" s="13">
        <f t="shared" si="0"/>
        <v>265</v>
      </c>
      <c r="O26" s="13">
        <f t="shared" si="0"/>
        <v>95</v>
      </c>
      <c r="P26" s="13">
        <f t="shared" si="0"/>
        <v>5146</v>
      </c>
      <c r="Q26" s="13">
        <f t="shared" si="0"/>
        <v>82</v>
      </c>
      <c r="R26" s="13">
        <f t="shared" si="0"/>
        <v>110</v>
      </c>
      <c r="S26" s="14">
        <f t="shared" si="0"/>
        <v>55</v>
      </c>
      <c r="T26" s="13">
        <f t="shared" si="0"/>
        <v>412</v>
      </c>
      <c r="U26" s="13">
        <f t="shared" si="0"/>
        <v>0</v>
      </c>
      <c r="V26" s="13">
        <f t="shared" si="0"/>
        <v>0</v>
      </c>
      <c r="W26" s="13">
        <f t="shared" si="0"/>
        <v>0</v>
      </c>
      <c r="X26" s="13">
        <f t="shared" si="0"/>
        <v>80</v>
      </c>
      <c r="Y26" s="13">
        <f t="shared" si="0"/>
        <v>216</v>
      </c>
      <c r="Z26" s="13">
        <f t="shared" si="0"/>
        <v>107</v>
      </c>
      <c r="AA26" s="13">
        <f t="shared" si="0"/>
        <v>37</v>
      </c>
      <c r="AB26" s="13">
        <f>SUM(AB5+AB7+AB9+AB11+AB13+AB15+AB17+AB19+AB21+AB23)</f>
        <v>323</v>
      </c>
      <c r="AC26" s="13">
        <f t="shared" si="0"/>
        <v>167</v>
      </c>
      <c r="AD26" s="13">
        <f t="shared" si="0"/>
        <v>438</v>
      </c>
      <c r="AE26" s="13">
        <f>SUM(AE5+AE7+AE9+AE11+AE13+AE15+AE17+AE19+AE21+AE23)</f>
        <v>1399</v>
      </c>
      <c r="AF26" s="13">
        <f t="shared" si="0"/>
        <v>0</v>
      </c>
      <c r="AG26" s="15">
        <f t="shared" si="0"/>
        <v>10459</v>
      </c>
    </row>
  </sheetData>
  <mergeCells count="2">
    <mergeCell ref="A1:A2"/>
    <mergeCell ref="B1:AG2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66FB-D767-45CC-9543-0A8CF9673F69}">
  <sheetPr>
    <outlinePr summaryBelow="0" summaryRight="0"/>
  </sheetPr>
  <dimension ref="A1:AG26"/>
  <sheetViews>
    <sheetView showGridLines="0" workbookViewId="0">
      <pane xSplit="1" ySplit="3" topLeftCell="AF4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ColWidth="12.5546875" defaultRowHeight="15.75" customHeight="1" x14ac:dyDescent="0.25"/>
  <cols>
    <col min="1" max="1" width="27.6640625" customWidth="1"/>
    <col min="2" max="2" width="11.33203125" customWidth="1"/>
    <col min="3" max="10" width="9.33203125" customWidth="1"/>
    <col min="11" max="11" width="11.109375" customWidth="1"/>
    <col min="12" max="21" width="9.33203125" customWidth="1"/>
    <col min="22" max="22" width="11.88671875" customWidth="1"/>
    <col min="23" max="23" width="12.5546875" customWidth="1"/>
    <col min="24" max="24" width="11.109375" customWidth="1"/>
    <col min="25" max="27" width="9.33203125" customWidth="1"/>
    <col min="28" max="28" width="10.109375" customWidth="1"/>
    <col min="29" max="29" width="10.88671875" customWidth="1"/>
    <col min="30" max="31" width="9.33203125" customWidth="1"/>
    <col min="32" max="32" width="10.8867187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>
        <v>65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>
        <v>637</v>
      </c>
      <c r="X5" s="5">
        <v>205</v>
      </c>
      <c r="Y5" s="5"/>
      <c r="Z5" s="5"/>
      <c r="AA5" s="5"/>
      <c r="AB5" s="5">
        <v>200</v>
      </c>
      <c r="AC5" s="5"/>
      <c r="AD5" s="5"/>
      <c r="AE5" s="5"/>
      <c r="AF5" s="5"/>
      <c r="AG5" s="6">
        <f>SUM(B5:AF5)</f>
        <v>1107</v>
      </c>
    </row>
    <row r="6" spans="1:33" ht="26.4" x14ac:dyDescent="0.25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 t="s">
        <v>145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 t="s">
        <v>146</v>
      </c>
      <c r="X6" s="9" t="s">
        <v>147</v>
      </c>
      <c r="Y6" s="9"/>
      <c r="Z6" s="9"/>
      <c r="AA6" s="9"/>
      <c r="AB6" s="9" t="s">
        <v>148</v>
      </c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19</v>
      </c>
      <c r="Y7" s="5"/>
      <c r="Z7" s="5"/>
      <c r="AA7" s="5"/>
      <c r="AB7" s="5">
        <v>4500</v>
      </c>
      <c r="AC7" s="5"/>
      <c r="AD7" s="5"/>
      <c r="AE7" s="5"/>
      <c r="AF7" s="5"/>
      <c r="AG7" s="6">
        <f>SUM(B7:AF7)</f>
        <v>4519</v>
      </c>
    </row>
    <row r="8" spans="1:33" ht="26.4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 t="s">
        <v>149</v>
      </c>
      <c r="Y8" s="9"/>
      <c r="Z8" s="9"/>
      <c r="AA8" s="9"/>
      <c r="AB8" s="9" t="s">
        <v>150</v>
      </c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>
        <v>400</v>
      </c>
      <c r="C9" s="5"/>
      <c r="D9" s="5"/>
      <c r="E9" s="5">
        <v>150</v>
      </c>
      <c r="F9" s="5">
        <v>200</v>
      </c>
      <c r="G9" s="5"/>
      <c r="H9" s="5"/>
      <c r="I9" s="5"/>
      <c r="J9" s="5"/>
      <c r="K9" s="5"/>
      <c r="L9" s="5">
        <v>200</v>
      </c>
      <c r="M9" s="5"/>
      <c r="N9" s="5"/>
      <c r="O9" s="5"/>
      <c r="P9" s="5"/>
      <c r="Q9" s="5"/>
      <c r="R9" s="5"/>
      <c r="S9" s="5">
        <v>200</v>
      </c>
      <c r="T9" s="5"/>
      <c r="U9" s="5"/>
      <c r="V9" s="5"/>
      <c r="W9" s="5">
        <v>250</v>
      </c>
      <c r="X9" s="5"/>
      <c r="Y9" s="5"/>
      <c r="Z9" s="5"/>
      <c r="AA9" s="5"/>
      <c r="AB9" s="5"/>
      <c r="AC9" s="5"/>
      <c r="AD9" s="5"/>
      <c r="AE9" s="5">
        <v>200</v>
      </c>
      <c r="AF9" s="5"/>
      <c r="AG9" s="6">
        <f>SUM(B9:AF9)</f>
        <v>1600</v>
      </c>
    </row>
    <row r="10" spans="1:33" ht="13.2" x14ac:dyDescent="0.25">
      <c r="A10" s="8" t="s">
        <v>5</v>
      </c>
      <c r="B10" s="9" t="s">
        <v>151</v>
      </c>
      <c r="C10" s="9"/>
      <c r="D10" s="9"/>
      <c r="E10" s="9" t="s">
        <v>18</v>
      </c>
      <c r="F10" s="9" t="s">
        <v>18</v>
      </c>
      <c r="G10" s="9"/>
      <c r="H10" s="9"/>
      <c r="I10" s="9"/>
      <c r="J10" s="9"/>
      <c r="K10" s="9"/>
      <c r="L10" s="9" t="s">
        <v>18</v>
      </c>
      <c r="M10" s="9"/>
      <c r="N10" s="9"/>
      <c r="O10" s="9"/>
      <c r="P10" s="9"/>
      <c r="Q10" s="9"/>
      <c r="R10" s="9"/>
      <c r="S10" s="9" t="s">
        <v>18</v>
      </c>
      <c r="T10" s="9"/>
      <c r="U10" s="9"/>
      <c r="V10" s="9"/>
      <c r="W10" s="9" t="s">
        <v>18</v>
      </c>
      <c r="X10" s="9"/>
      <c r="Y10" s="9"/>
      <c r="Z10" s="9"/>
      <c r="AA10" s="9"/>
      <c r="AB10" s="9"/>
      <c r="AC10" s="9"/>
      <c r="AD10" s="9"/>
      <c r="AE10" s="9" t="s">
        <v>18</v>
      </c>
      <c r="AF10" s="9"/>
      <c r="AG10" s="10"/>
    </row>
    <row r="11" spans="1:33" ht="13.2" x14ac:dyDescent="0.25">
      <c r="A11" s="7" t="s">
        <v>21</v>
      </c>
      <c r="B11" s="5"/>
      <c r="C11" s="5">
        <v>97</v>
      </c>
      <c r="D11" s="5"/>
      <c r="E11" s="5"/>
      <c r="F11" s="5"/>
      <c r="G11" s="5"/>
      <c r="H11" s="5"/>
      <c r="I11" s="5">
        <v>100</v>
      </c>
      <c r="J11" s="5"/>
      <c r="K11" s="5"/>
      <c r="L11" s="5"/>
      <c r="M11" s="5"/>
      <c r="N11" s="5"/>
      <c r="O11" s="5"/>
      <c r="P11" s="5"/>
      <c r="Q11" s="5">
        <v>48</v>
      </c>
      <c r="R11" s="5">
        <v>86</v>
      </c>
      <c r="S11" s="5">
        <v>0</v>
      </c>
      <c r="T11" s="5"/>
      <c r="U11" s="5"/>
      <c r="V11" s="5"/>
      <c r="W11" s="5"/>
      <c r="X11" s="5">
        <v>53</v>
      </c>
      <c r="Y11" s="5"/>
      <c r="Z11" s="5"/>
      <c r="AA11" s="5">
        <v>200</v>
      </c>
      <c r="AB11" s="5"/>
      <c r="AC11" s="5"/>
      <c r="AD11" s="5"/>
      <c r="AE11" s="5">
        <v>90</v>
      </c>
      <c r="AF11" s="5"/>
      <c r="AG11" s="6">
        <f>SUM(B11:AF11)</f>
        <v>674</v>
      </c>
    </row>
    <row r="12" spans="1:33" ht="39.6" x14ac:dyDescent="0.25">
      <c r="A12" s="8" t="s">
        <v>5</v>
      </c>
      <c r="B12" s="9"/>
      <c r="C12" s="9" t="s">
        <v>152</v>
      </c>
      <c r="D12" s="9"/>
      <c r="E12" s="9"/>
      <c r="F12" s="9"/>
      <c r="G12" s="9"/>
      <c r="H12" s="9"/>
      <c r="I12" s="9" t="s">
        <v>153</v>
      </c>
      <c r="J12" s="9"/>
      <c r="K12" s="9"/>
      <c r="L12" s="9"/>
      <c r="M12" s="9"/>
      <c r="N12" s="9"/>
      <c r="O12" s="9"/>
      <c r="P12" s="9"/>
      <c r="Q12" s="9" t="s">
        <v>154</v>
      </c>
      <c r="R12" s="9" t="s">
        <v>154</v>
      </c>
      <c r="S12" s="9"/>
      <c r="T12" s="9"/>
      <c r="U12" s="9"/>
      <c r="V12" s="9"/>
      <c r="W12" s="9"/>
      <c r="X12" s="9" t="s">
        <v>155</v>
      </c>
      <c r="Y12" s="9"/>
      <c r="Z12" s="9"/>
      <c r="AA12" s="9" t="s">
        <v>156</v>
      </c>
      <c r="AB12" s="9"/>
      <c r="AC12" s="9"/>
      <c r="AD12" s="9"/>
      <c r="AE12" s="9" t="s">
        <v>157</v>
      </c>
      <c r="AF12" s="9"/>
      <c r="AG12" s="10"/>
    </row>
    <row r="13" spans="1:33" ht="13.2" x14ac:dyDescent="0.25">
      <c r="A13" s="7" t="s">
        <v>24</v>
      </c>
      <c r="B13" s="5"/>
      <c r="C13" s="5"/>
      <c r="D13" s="5"/>
      <c r="E13" s="5"/>
      <c r="F13" s="5"/>
      <c r="G13" s="5"/>
      <c r="H13" s="5"/>
      <c r="I13" s="5"/>
      <c r="J13" s="5">
        <v>20</v>
      </c>
      <c r="K13" s="5"/>
      <c r="L13" s="5">
        <v>80</v>
      </c>
      <c r="M13" s="5"/>
      <c r="N13" s="5"/>
      <c r="O13" s="5">
        <v>130</v>
      </c>
      <c r="P13" s="5"/>
      <c r="Q13" s="5"/>
      <c r="R13" s="5"/>
      <c r="S13" s="5">
        <v>115</v>
      </c>
      <c r="T13" s="5"/>
      <c r="U13" s="5"/>
      <c r="V13" s="5">
        <v>70</v>
      </c>
      <c r="W13" s="5"/>
      <c r="X13" s="5"/>
      <c r="Y13" s="5"/>
      <c r="Z13" s="5"/>
      <c r="AA13" s="5">
        <v>40</v>
      </c>
      <c r="AB13" s="5"/>
      <c r="AC13" s="5">
        <v>70</v>
      </c>
      <c r="AD13" s="5"/>
      <c r="AE13" s="5"/>
      <c r="AF13" s="5">
        <v>100</v>
      </c>
      <c r="AG13" s="6">
        <f>SUM(B13:AF13)</f>
        <v>625</v>
      </c>
    </row>
    <row r="14" spans="1:33" ht="26.4" x14ac:dyDescent="0.25">
      <c r="A14" s="8" t="s">
        <v>5</v>
      </c>
      <c r="B14" s="9"/>
      <c r="C14" s="9"/>
      <c r="D14" s="9"/>
      <c r="E14" s="9"/>
      <c r="F14" s="9"/>
      <c r="G14" s="9"/>
      <c r="H14" s="9"/>
      <c r="I14" s="9"/>
      <c r="J14" s="9" t="s">
        <v>158</v>
      </c>
      <c r="K14" s="9"/>
      <c r="L14" s="9" t="s">
        <v>159</v>
      </c>
      <c r="M14" s="9"/>
      <c r="N14" s="9"/>
      <c r="O14" s="9" t="s">
        <v>160</v>
      </c>
      <c r="P14" s="9"/>
      <c r="Q14" s="9"/>
      <c r="R14" s="9"/>
      <c r="S14" s="9" t="s">
        <v>161</v>
      </c>
      <c r="T14" s="9"/>
      <c r="U14" s="9"/>
      <c r="V14" s="9" t="s">
        <v>162</v>
      </c>
      <c r="W14" s="9"/>
      <c r="X14" s="9"/>
      <c r="Y14" s="9"/>
      <c r="Z14" s="9"/>
      <c r="AA14" s="9" t="s">
        <v>36</v>
      </c>
      <c r="AB14" s="9"/>
      <c r="AC14" s="9" t="s">
        <v>163</v>
      </c>
      <c r="AD14" s="9"/>
      <c r="AE14" s="9"/>
      <c r="AF14" s="9" t="s">
        <v>164</v>
      </c>
      <c r="AG14" s="10"/>
    </row>
    <row r="15" spans="1:33" ht="13.2" x14ac:dyDescent="0.25">
      <c r="A15" s="7" t="s">
        <v>44</v>
      </c>
      <c r="B15" s="5">
        <v>2121</v>
      </c>
      <c r="C15" s="5"/>
      <c r="D15" s="5"/>
      <c r="E15" s="5"/>
      <c r="F15" s="5"/>
      <c r="G15" s="5"/>
      <c r="H15" s="5"/>
      <c r="I15" s="5"/>
      <c r="J15" s="5"/>
      <c r="K15" s="5"/>
      <c r="L15" s="5">
        <v>75</v>
      </c>
      <c r="M15" s="5"/>
      <c r="N15" s="5"/>
      <c r="O15" s="5"/>
      <c r="P15" s="5"/>
      <c r="Q15" s="5"/>
      <c r="R15" s="5"/>
      <c r="S15" s="5"/>
      <c r="T15" s="5"/>
      <c r="U15" s="5"/>
      <c r="V15" s="5">
        <v>800</v>
      </c>
      <c r="W15" s="5"/>
      <c r="X15" s="5"/>
      <c r="Y15" s="5"/>
      <c r="Z15" s="5"/>
      <c r="AA15" s="5"/>
      <c r="AB15" s="5">
        <v>160</v>
      </c>
      <c r="AC15" s="5"/>
      <c r="AD15" s="5"/>
      <c r="AE15" s="5"/>
      <c r="AF15" s="5">
        <v>1600</v>
      </c>
      <c r="AG15" s="6">
        <f>SUM(B15:AF15)</f>
        <v>4756</v>
      </c>
    </row>
    <row r="16" spans="1:33" ht="39.6" x14ac:dyDescent="0.25">
      <c r="A16" s="8" t="s">
        <v>5</v>
      </c>
      <c r="B16" s="9" t="s">
        <v>165</v>
      </c>
      <c r="C16" s="9"/>
      <c r="D16" s="9"/>
      <c r="E16" s="9"/>
      <c r="F16" s="9"/>
      <c r="G16" s="9"/>
      <c r="H16" s="9"/>
      <c r="I16" s="9"/>
      <c r="J16" s="9"/>
      <c r="K16" s="9"/>
      <c r="L16" s="9" t="s">
        <v>166</v>
      </c>
      <c r="M16" s="9"/>
      <c r="N16" s="9"/>
      <c r="O16" s="9"/>
      <c r="P16" s="9"/>
      <c r="Q16" s="9"/>
      <c r="R16" s="9"/>
      <c r="S16" s="9"/>
      <c r="T16" s="9"/>
      <c r="U16" s="9"/>
      <c r="V16" s="9" t="s">
        <v>167</v>
      </c>
      <c r="W16" s="9"/>
      <c r="X16" s="9"/>
      <c r="Y16" s="9"/>
      <c r="Z16" s="9"/>
      <c r="AA16" s="9"/>
      <c r="AB16" s="9" t="s">
        <v>168</v>
      </c>
      <c r="AC16" s="9"/>
      <c r="AD16" s="9"/>
      <c r="AE16" s="9"/>
      <c r="AF16" s="9" t="s">
        <v>169</v>
      </c>
      <c r="AG16" s="10"/>
    </row>
    <row r="17" spans="1:33" ht="13.2" x14ac:dyDescent="0.25">
      <c r="A17" s="7" t="s">
        <v>47</v>
      </c>
      <c r="B17" s="5">
        <v>241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>
        <v>1050</v>
      </c>
      <c r="AG17" s="6">
        <f>SUM(B17:AF17)</f>
        <v>1291</v>
      </c>
    </row>
    <row r="18" spans="1:33" ht="13.2" x14ac:dyDescent="0.25">
      <c r="A18" s="8" t="s">
        <v>5</v>
      </c>
      <c r="B18" s="9" t="s">
        <v>170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 t="s">
        <v>171</v>
      </c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</v>
      </c>
      <c r="AB19" s="5"/>
      <c r="AC19" s="5"/>
      <c r="AD19" s="5"/>
      <c r="AE19" s="5"/>
      <c r="AF19" s="5"/>
      <c r="AG19" s="6">
        <f>SUM(B19:AF19)</f>
        <v>1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50</v>
      </c>
      <c r="B21" s="5"/>
      <c r="C21" s="5"/>
      <c r="D21" s="5"/>
      <c r="E21" s="5"/>
      <c r="F21" s="5"/>
      <c r="G21" s="5"/>
      <c r="H21" s="5"/>
      <c r="I21" s="5">
        <v>1000</v>
      </c>
      <c r="J21" s="5"/>
      <c r="K21" s="5">
        <v>45000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65</v>
      </c>
      <c r="AC21" s="5"/>
      <c r="AD21" s="5"/>
      <c r="AE21" s="5"/>
      <c r="AF21" s="5">
        <v>100</v>
      </c>
      <c r="AG21" s="6">
        <f>SUM(B21:AF21)</f>
        <v>46165</v>
      </c>
    </row>
    <row r="22" spans="1:33" ht="26.4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 t="s">
        <v>172</v>
      </c>
      <c r="J22" s="9"/>
      <c r="K22" s="9" t="s">
        <v>173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 t="s">
        <v>109</v>
      </c>
      <c r="AC22" s="9"/>
      <c r="AD22" s="9"/>
      <c r="AE22" s="9"/>
      <c r="AF22" s="9" t="s">
        <v>174</v>
      </c>
      <c r="AG22" s="10"/>
    </row>
    <row r="23" spans="1:33" ht="13.2" x14ac:dyDescent="0.25">
      <c r="A23" s="7" t="s">
        <v>107</v>
      </c>
      <c r="B23" s="5"/>
      <c r="C23" s="5">
        <v>10</v>
      </c>
      <c r="D23" s="5"/>
      <c r="E23" s="5"/>
      <c r="F23" s="5">
        <v>150</v>
      </c>
      <c r="G23" s="5"/>
      <c r="H23" s="5"/>
      <c r="I23" s="5"/>
      <c r="J23" s="5"/>
      <c r="K23" s="5"/>
      <c r="L23" s="5">
        <v>1300</v>
      </c>
      <c r="M23" s="5"/>
      <c r="N23" s="5"/>
      <c r="O23" s="5">
        <v>145</v>
      </c>
      <c r="P23" s="5"/>
      <c r="Q23" s="5"/>
      <c r="R23" s="5"/>
      <c r="S23" s="5"/>
      <c r="T23" s="5"/>
      <c r="U23" s="5"/>
      <c r="V23" s="5"/>
      <c r="W23" s="5"/>
      <c r="X23" s="5"/>
      <c r="Y23" s="5">
        <v>100</v>
      </c>
      <c r="Z23" s="5"/>
      <c r="AA23" s="5"/>
      <c r="AB23" s="5"/>
      <c r="AC23" s="5"/>
      <c r="AD23" s="5"/>
      <c r="AE23" s="5"/>
      <c r="AF23" s="5"/>
      <c r="AG23" s="6">
        <f>SUM(B23:AF23)</f>
        <v>1705</v>
      </c>
    </row>
    <row r="24" spans="1:33" ht="39.6" x14ac:dyDescent="0.25">
      <c r="A24" s="8" t="s">
        <v>5</v>
      </c>
      <c r="B24" s="9"/>
      <c r="C24" s="9" t="s">
        <v>175</v>
      </c>
      <c r="D24" s="9"/>
      <c r="E24" s="9"/>
      <c r="F24" s="9" t="s">
        <v>176</v>
      </c>
      <c r="G24" s="9"/>
      <c r="H24" s="9"/>
      <c r="I24" s="9"/>
      <c r="J24" s="9"/>
      <c r="K24" s="9"/>
      <c r="L24" s="9" t="s">
        <v>177</v>
      </c>
      <c r="M24" s="9"/>
      <c r="N24" s="9"/>
      <c r="O24" s="9" t="s">
        <v>178</v>
      </c>
      <c r="P24" s="9"/>
      <c r="Q24" s="9"/>
      <c r="R24" s="9"/>
      <c r="S24" s="9"/>
      <c r="T24" s="9"/>
      <c r="U24" s="9"/>
      <c r="V24" s="9"/>
      <c r="W24" s="9"/>
      <c r="X24" s="9"/>
      <c r="Y24" s="9" t="s">
        <v>179</v>
      </c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1:33" ht="13.2" x14ac:dyDescent="0.25">
      <c r="A26" s="12" t="s">
        <v>57</v>
      </c>
      <c r="B26" s="13">
        <f t="shared" ref="B26:AG26" si="0">SUM(B5+B7+B9+B11+B13+B15+B17+B19+B21+B23)</f>
        <v>2762</v>
      </c>
      <c r="C26" s="13">
        <f t="shared" si="0"/>
        <v>107</v>
      </c>
      <c r="D26" s="13">
        <f t="shared" si="0"/>
        <v>0</v>
      </c>
      <c r="E26" s="13">
        <f t="shared" si="0"/>
        <v>150</v>
      </c>
      <c r="F26" s="13">
        <f t="shared" si="0"/>
        <v>350</v>
      </c>
      <c r="G26" s="13">
        <f t="shared" si="0"/>
        <v>0</v>
      </c>
      <c r="H26" s="13">
        <f t="shared" si="0"/>
        <v>0</v>
      </c>
      <c r="I26" s="13">
        <f t="shared" si="0"/>
        <v>1100</v>
      </c>
      <c r="J26" s="13">
        <f t="shared" si="0"/>
        <v>20</v>
      </c>
      <c r="K26" s="13">
        <f t="shared" si="0"/>
        <v>45065</v>
      </c>
      <c r="L26" s="13">
        <f t="shared" si="0"/>
        <v>1655</v>
      </c>
      <c r="M26" s="13">
        <f t="shared" si="0"/>
        <v>0</v>
      </c>
      <c r="N26" s="13">
        <f t="shared" si="0"/>
        <v>0</v>
      </c>
      <c r="O26" s="13">
        <f t="shared" si="0"/>
        <v>275</v>
      </c>
      <c r="P26" s="13">
        <f t="shared" si="0"/>
        <v>0</v>
      </c>
      <c r="Q26" s="13">
        <f t="shared" si="0"/>
        <v>48</v>
      </c>
      <c r="R26" s="13">
        <f t="shared" si="0"/>
        <v>86</v>
      </c>
      <c r="S26" s="14">
        <f t="shared" si="0"/>
        <v>315</v>
      </c>
      <c r="T26" s="13">
        <f t="shared" si="0"/>
        <v>0</v>
      </c>
      <c r="U26" s="13">
        <f t="shared" si="0"/>
        <v>0</v>
      </c>
      <c r="V26" s="13">
        <f t="shared" si="0"/>
        <v>870</v>
      </c>
      <c r="W26" s="13">
        <f t="shared" si="0"/>
        <v>887</v>
      </c>
      <c r="X26" s="13">
        <f t="shared" si="0"/>
        <v>277</v>
      </c>
      <c r="Y26" s="13">
        <f t="shared" si="0"/>
        <v>100</v>
      </c>
      <c r="Z26" s="13">
        <f t="shared" si="0"/>
        <v>0</v>
      </c>
      <c r="AA26" s="13">
        <f t="shared" si="0"/>
        <v>241</v>
      </c>
      <c r="AB26" s="13">
        <f>SUM(AB5+AB7+AB9+AB11+AB13+AB15+AB17+AB19+AB21+AB23)</f>
        <v>4925</v>
      </c>
      <c r="AC26" s="13">
        <f t="shared" si="0"/>
        <v>70</v>
      </c>
      <c r="AD26" s="13">
        <f t="shared" si="0"/>
        <v>0</v>
      </c>
      <c r="AE26" s="13">
        <f>SUM(AE5+AE7+AE9+AE11+AE13+AE15+AE17+AE19+AE21+AE23)</f>
        <v>290</v>
      </c>
      <c r="AF26" s="13">
        <f t="shared" si="0"/>
        <v>2850</v>
      </c>
      <c r="AG26" s="15">
        <f t="shared" si="0"/>
        <v>62443</v>
      </c>
    </row>
  </sheetData>
  <mergeCells count="2">
    <mergeCell ref="A1:A2"/>
    <mergeCell ref="B1:AG2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E625-F482-4B9A-AA13-FCAEDC42C017}">
  <sheetPr>
    <outlinePr summaryBelow="0" summaryRight="0"/>
  </sheetPr>
  <dimension ref="A1:AG26"/>
  <sheetViews>
    <sheetView showGridLines="0" workbookViewId="0">
      <pane xSplit="1" ySplit="3" topLeftCell="AA16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ColWidth="12.5546875" defaultRowHeight="15.75" customHeight="1" x14ac:dyDescent="0.25"/>
  <cols>
    <col min="1" max="1" width="27.6640625" customWidth="1"/>
    <col min="2" max="2" width="11.33203125" customWidth="1"/>
    <col min="3" max="10" width="9.33203125" customWidth="1"/>
    <col min="11" max="11" width="11.109375" customWidth="1"/>
    <col min="12" max="21" width="9.33203125" customWidth="1"/>
    <col min="22" max="22" width="11.88671875" customWidth="1"/>
    <col min="23" max="23" width="12.5546875" customWidth="1"/>
    <col min="24" max="24" width="11.109375" customWidth="1"/>
    <col min="25" max="27" width="9.33203125" customWidth="1"/>
    <col min="28" max="28" width="10.109375" customWidth="1"/>
    <col min="29" max="29" width="10.88671875" customWidth="1"/>
    <col min="30" max="31" width="9.33203125" customWidth="1"/>
    <col min="32" max="32" width="10.8867187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2337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>
        <f>SUM(B5:AF5)</f>
        <v>2337</v>
      </c>
    </row>
    <row r="6" spans="1:33" ht="13.2" x14ac:dyDescent="0.25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 t="s">
        <v>180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160</v>
      </c>
      <c r="R7" s="5">
        <v>100</v>
      </c>
      <c r="S7" s="5"/>
      <c r="T7" s="5"/>
      <c r="U7" s="5"/>
      <c r="V7" s="5"/>
      <c r="W7" s="5"/>
      <c r="X7" s="5"/>
      <c r="Y7" s="5"/>
      <c r="Z7" s="5">
        <v>200</v>
      </c>
      <c r="AA7" s="5"/>
      <c r="AB7" s="5">
        <v>500</v>
      </c>
      <c r="AC7" s="5">
        <v>700</v>
      </c>
      <c r="AD7" s="5"/>
      <c r="AE7" s="5">
        <v>1580</v>
      </c>
      <c r="AF7" s="5"/>
      <c r="AG7" s="6">
        <f>SUM(B7:AF7)</f>
        <v>3240</v>
      </c>
    </row>
    <row r="8" spans="1:33" ht="52.8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 t="s">
        <v>181</v>
      </c>
      <c r="R8" s="9" t="s">
        <v>182</v>
      </c>
      <c r="S8" s="9"/>
      <c r="T8" s="9"/>
      <c r="U8" s="9"/>
      <c r="V8" s="9"/>
      <c r="W8" s="9"/>
      <c r="X8" s="9"/>
      <c r="Y8" s="9"/>
      <c r="Z8" s="9" t="s">
        <v>183</v>
      </c>
      <c r="AA8" s="9"/>
      <c r="AB8" s="9" t="s">
        <v>183</v>
      </c>
      <c r="AC8" s="9" t="s">
        <v>183</v>
      </c>
      <c r="AD8" s="9"/>
      <c r="AE8" s="9" t="s">
        <v>184</v>
      </c>
      <c r="AF8" s="9"/>
      <c r="AG8" s="10"/>
    </row>
    <row r="9" spans="1:33" ht="13.2" x14ac:dyDescent="0.25">
      <c r="A9" s="7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120</v>
      </c>
      <c r="AE9" s="5"/>
      <c r="AF9" s="5"/>
      <c r="AG9" s="6">
        <f>SUM(B9:AF9)</f>
        <v>120</v>
      </c>
    </row>
    <row r="10" spans="1:33" ht="13.2" x14ac:dyDescent="0.25">
      <c r="A10" s="8" t="s">
        <v>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 t="s">
        <v>18</v>
      </c>
      <c r="AE10" s="9"/>
      <c r="AF10" s="9"/>
      <c r="AG10" s="10"/>
    </row>
    <row r="11" spans="1:33" ht="13.2" x14ac:dyDescent="0.25">
      <c r="A11" s="7" t="s">
        <v>21</v>
      </c>
      <c r="B11" s="5"/>
      <c r="C11" s="5">
        <v>500</v>
      </c>
      <c r="D11" s="5"/>
      <c r="E11" s="5"/>
      <c r="F11" s="5"/>
      <c r="G11" s="5"/>
      <c r="H11" s="5"/>
      <c r="I11" s="5"/>
      <c r="J11" s="5">
        <v>28</v>
      </c>
      <c r="K11" s="5">
        <v>120</v>
      </c>
      <c r="L11" s="5"/>
      <c r="M11" s="5"/>
      <c r="N11" s="5">
        <v>278</v>
      </c>
      <c r="O11" s="5">
        <v>189</v>
      </c>
      <c r="P11" s="5"/>
      <c r="Q11" s="5"/>
      <c r="R11" s="5">
        <v>100</v>
      </c>
      <c r="S11" s="5">
        <v>40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>
        <f>SUM(B11:AF11)</f>
        <v>1255</v>
      </c>
    </row>
    <row r="12" spans="1:33" ht="52.8" x14ac:dyDescent="0.25">
      <c r="A12" s="8" t="s">
        <v>5</v>
      </c>
      <c r="B12" s="9"/>
      <c r="C12" s="9" t="s">
        <v>185</v>
      </c>
      <c r="D12" s="9"/>
      <c r="E12" s="9"/>
      <c r="F12" s="9"/>
      <c r="G12" s="9"/>
      <c r="H12" s="9"/>
      <c r="I12" s="9"/>
      <c r="J12" s="9" t="s">
        <v>52</v>
      </c>
      <c r="K12" s="9" t="s">
        <v>186</v>
      </c>
      <c r="L12" s="9"/>
      <c r="M12" s="9"/>
      <c r="N12" s="9" t="s">
        <v>187</v>
      </c>
      <c r="O12" s="9" t="s">
        <v>188</v>
      </c>
      <c r="P12" s="9"/>
      <c r="Q12" s="9"/>
      <c r="R12" s="9" t="s">
        <v>189</v>
      </c>
      <c r="S12" s="9" t="s">
        <v>190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spans="1:33" ht="13.2" x14ac:dyDescent="0.25">
      <c r="A13" s="7" t="s">
        <v>24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80</v>
      </c>
      <c r="P13" s="5"/>
      <c r="Q13" s="5">
        <v>90</v>
      </c>
      <c r="R13" s="5"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>
        <f>SUM(B13:AF13)</f>
        <v>170</v>
      </c>
    </row>
    <row r="14" spans="1:33" ht="13.2" x14ac:dyDescent="0.25">
      <c r="A14" s="8" t="s">
        <v>5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 t="s">
        <v>36</v>
      </c>
      <c r="P14" s="9"/>
      <c r="Q14" s="9" t="s">
        <v>39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</row>
    <row r="15" spans="1:33" ht="13.2" x14ac:dyDescent="0.25">
      <c r="A15" s="7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768</v>
      </c>
      <c r="AB15" s="5">
        <v>500</v>
      </c>
      <c r="AC15" s="5"/>
      <c r="AD15" s="5"/>
      <c r="AE15" s="5">
        <v>100</v>
      </c>
      <c r="AF15" s="5"/>
      <c r="AG15" s="6">
        <f>SUM(B15:AF15)</f>
        <v>1368</v>
      </c>
    </row>
    <row r="16" spans="1:33" ht="26.4" x14ac:dyDescent="0.3">
      <c r="A16" s="8" t="s">
        <v>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 t="s">
        <v>191</v>
      </c>
      <c r="AB16" s="16" t="s">
        <v>192</v>
      </c>
      <c r="AC16" s="9"/>
      <c r="AD16" s="9"/>
      <c r="AE16" s="9" t="s">
        <v>193</v>
      </c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f>SUM(B17:AF17)</f>
        <v>0</v>
      </c>
    </row>
    <row r="18" spans="1:33" ht="13.2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50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400</v>
      </c>
      <c r="M21" s="5"/>
      <c r="N21" s="5"/>
      <c r="O21" s="5">
        <v>64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464</v>
      </c>
    </row>
    <row r="22" spans="1:33" ht="26.4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 t="s">
        <v>194</v>
      </c>
      <c r="M22" s="9"/>
      <c r="N22" s="9"/>
      <c r="O22" s="9" t="s">
        <v>195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0</v>
      </c>
    </row>
    <row r="24" spans="1:33" ht="13.2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1:33" ht="13.2" x14ac:dyDescent="0.25">
      <c r="A26" s="12" t="s">
        <v>57</v>
      </c>
      <c r="B26" s="13">
        <f t="shared" ref="B26:AG26" si="0">SUM(B5+B7+B9+B11+B13+B15+B17+B19+B21+B23)</f>
        <v>0</v>
      </c>
      <c r="C26" s="13">
        <f t="shared" si="0"/>
        <v>500</v>
      </c>
      <c r="D26" s="13">
        <f t="shared" si="0"/>
        <v>0</v>
      </c>
      <c r="E26" s="13">
        <f t="shared" si="0"/>
        <v>0</v>
      </c>
      <c r="F26" s="13">
        <f t="shared" si="0"/>
        <v>0</v>
      </c>
      <c r="G26" s="13">
        <f t="shared" si="0"/>
        <v>0</v>
      </c>
      <c r="H26" s="13">
        <f t="shared" si="0"/>
        <v>0</v>
      </c>
      <c r="I26" s="13">
        <f t="shared" si="0"/>
        <v>0</v>
      </c>
      <c r="J26" s="13">
        <f t="shared" si="0"/>
        <v>28</v>
      </c>
      <c r="K26" s="13">
        <f t="shared" si="0"/>
        <v>120</v>
      </c>
      <c r="L26" s="13">
        <f t="shared" si="0"/>
        <v>400</v>
      </c>
      <c r="M26" s="13">
        <f t="shared" si="0"/>
        <v>0</v>
      </c>
      <c r="N26" s="13">
        <f t="shared" si="0"/>
        <v>278</v>
      </c>
      <c r="O26" s="13">
        <f t="shared" si="0"/>
        <v>2670</v>
      </c>
      <c r="P26" s="13">
        <f t="shared" si="0"/>
        <v>0</v>
      </c>
      <c r="Q26" s="13">
        <f t="shared" si="0"/>
        <v>250</v>
      </c>
      <c r="R26" s="13">
        <f t="shared" si="0"/>
        <v>200</v>
      </c>
      <c r="S26" s="14">
        <f t="shared" si="0"/>
        <v>40</v>
      </c>
      <c r="T26" s="13">
        <f t="shared" si="0"/>
        <v>0</v>
      </c>
      <c r="U26" s="13">
        <f t="shared" si="0"/>
        <v>0</v>
      </c>
      <c r="V26" s="13">
        <f t="shared" si="0"/>
        <v>0</v>
      </c>
      <c r="W26" s="13">
        <f t="shared" si="0"/>
        <v>0</v>
      </c>
      <c r="X26" s="13">
        <f t="shared" si="0"/>
        <v>0</v>
      </c>
      <c r="Y26" s="13">
        <f t="shared" si="0"/>
        <v>0</v>
      </c>
      <c r="Z26" s="13">
        <f t="shared" si="0"/>
        <v>200</v>
      </c>
      <c r="AA26" s="13">
        <f t="shared" si="0"/>
        <v>768</v>
      </c>
      <c r="AB26" s="13">
        <f>SUM(AB5+AB7+AB9+AB11+AB13+AB15+AB17+AB19+AB21+AB23)</f>
        <v>1000</v>
      </c>
      <c r="AC26" s="13">
        <f t="shared" si="0"/>
        <v>700</v>
      </c>
      <c r="AD26" s="13">
        <f t="shared" si="0"/>
        <v>120</v>
      </c>
      <c r="AE26" s="13">
        <f>SUM(AE5+AE7+AE9+AE11+AE13+AE15+AE17+AE19+AE21+AE23)</f>
        <v>1680</v>
      </c>
      <c r="AF26" s="13">
        <f t="shared" si="0"/>
        <v>0</v>
      </c>
      <c r="AG26" s="15">
        <f t="shared" si="0"/>
        <v>8954</v>
      </c>
    </row>
  </sheetData>
  <mergeCells count="2">
    <mergeCell ref="A1:A2"/>
    <mergeCell ref="B1:AG2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7339-2E20-4251-92F3-6859ED6A02F4}">
  <sheetPr>
    <outlinePr summaryBelow="0" summaryRight="0"/>
  </sheetPr>
  <dimension ref="A1:AG26"/>
  <sheetViews>
    <sheetView showGridLines="0" workbookViewId="0">
      <pane xSplit="1" ySplit="3" topLeftCell="AF5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ColWidth="12.5546875" defaultRowHeight="15.75" customHeight="1" x14ac:dyDescent="0.25"/>
  <cols>
    <col min="1" max="1" width="27.6640625" customWidth="1"/>
    <col min="2" max="12" width="9.33203125" customWidth="1"/>
    <col min="13" max="13" width="10.109375" customWidth="1"/>
    <col min="14" max="14" width="12.6640625" customWidth="1"/>
    <col min="15" max="17" width="9.33203125" customWidth="1"/>
    <col min="18" max="18" width="16.44140625" customWidth="1"/>
    <col min="19" max="30" width="9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>
        <v>90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>
        <v>75</v>
      </c>
      <c r="X5" s="5"/>
      <c r="Y5" s="5"/>
      <c r="Z5" s="5"/>
      <c r="AA5" s="5"/>
      <c r="AB5" s="5"/>
      <c r="AC5" s="5"/>
      <c r="AD5" s="5"/>
      <c r="AE5" s="5">
        <v>579</v>
      </c>
      <c r="AF5" s="5"/>
      <c r="AG5" s="6">
        <f>SUM(B5:AF5)</f>
        <v>744</v>
      </c>
    </row>
    <row r="6" spans="1:33" ht="13.2" x14ac:dyDescent="0.25">
      <c r="A6" s="8" t="s">
        <v>5</v>
      </c>
      <c r="B6" s="9" t="s">
        <v>196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 t="s">
        <v>197</v>
      </c>
      <c r="X6" s="9"/>
      <c r="Y6" s="9"/>
      <c r="Z6" s="9"/>
      <c r="AA6" s="9"/>
      <c r="AB6" s="9"/>
      <c r="AC6" s="9"/>
      <c r="AD6" s="9"/>
      <c r="AE6" s="9" t="s">
        <v>145</v>
      </c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>
        <v>350</v>
      </c>
      <c r="I7" s="5"/>
      <c r="J7" s="5"/>
      <c r="K7" s="5"/>
      <c r="L7" s="5"/>
      <c r="M7" s="5"/>
      <c r="N7" s="5">
        <v>2925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200</v>
      </c>
      <c r="AB7" s="5"/>
      <c r="AC7" s="5"/>
      <c r="AD7" s="5"/>
      <c r="AE7" s="5"/>
      <c r="AF7" s="5"/>
      <c r="AG7" s="6">
        <f>SUM(B7:AF7)</f>
        <v>3475</v>
      </c>
    </row>
    <row r="8" spans="1:33" ht="13.2" x14ac:dyDescent="0.25">
      <c r="A8" s="8" t="s">
        <v>5</v>
      </c>
      <c r="B8" s="9"/>
      <c r="C8" s="9"/>
      <c r="D8" s="9"/>
      <c r="E8" s="9"/>
      <c r="F8" s="9"/>
      <c r="G8" s="9"/>
      <c r="H8" s="9" t="s">
        <v>198</v>
      </c>
      <c r="I8" s="9"/>
      <c r="J8" s="9"/>
      <c r="K8" s="9"/>
      <c r="L8" s="9"/>
      <c r="M8" s="9"/>
      <c r="N8" s="9" t="s">
        <v>199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 t="s">
        <v>60</v>
      </c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/>
      <c r="D9" s="5">
        <v>200</v>
      </c>
      <c r="E9" s="5"/>
      <c r="F9" s="5"/>
      <c r="G9" s="5"/>
      <c r="H9" s="5">
        <v>250</v>
      </c>
      <c r="I9" s="5">
        <v>200</v>
      </c>
      <c r="J9" s="5">
        <v>200</v>
      </c>
      <c r="K9" s="5"/>
      <c r="L9" s="5">
        <v>150</v>
      </c>
      <c r="M9" s="5"/>
      <c r="N9" s="5">
        <v>100</v>
      </c>
      <c r="O9" s="5"/>
      <c r="P9" s="5">
        <v>200</v>
      </c>
      <c r="Q9" s="5"/>
      <c r="R9" s="5"/>
      <c r="S9" s="5">
        <v>200</v>
      </c>
      <c r="T9" s="5"/>
      <c r="U9" s="5"/>
      <c r="V9" s="5"/>
      <c r="W9" s="5">
        <v>200</v>
      </c>
      <c r="X9" s="5"/>
      <c r="Y9" s="5">
        <v>200</v>
      </c>
      <c r="Z9" s="5"/>
      <c r="AA9" s="5"/>
      <c r="AB9" s="5"/>
      <c r="AC9" s="5"/>
      <c r="AD9" s="5">
        <v>150</v>
      </c>
      <c r="AE9" s="5">
        <v>200</v>
      </c>
      <c r="AF9" s="5"/>
      <c r="AG9" s="6">
        <f>SUM(B9:AF9)</f>
        <v>2250</v>
      </c>
    </row>
    <row r="10" spans="1:33" ht="13.2" x14ac:dyDescent="0.25">
      <c r="A10" s="8" t="s">
        <v>5</v>
      </c>
      <c r="B10" s="9"/>
      <c r="C10" s="9"/>
      <c r="D10" s="9" t="s">
        <v>18</v>
      </c>
      <c r="E10" s="9"/>
      <c r="F10" s="9"/>
      <c r="G10" s="9"/>
      <c r="H10" s="9" t="s">
        <v>200</v>
      </c>
      <c r="I10" s="9" t="s">
        <v>17</v>
      </c>
      <c r="J10" s="9" t="s">
        <v>17</v>
      </c>
      <c r="K10" s="9"/>
      <c r="L10" s="9" t="s">
        <v>17</v>
      </c>
      <c r="M10" s="9"/>
      <c r="N10" s="9" t="s">
        <v>17</v>
      </c>
      <c r="O10" s="9"/>
      <c r="P10" s="9" t="s">
        <v>17</v>
      </c>
      <c r="Q10" s="9"/>
      <c r="R10" s="9"/>
      <c r="S10" s="9" t="s">
        <v>201</v>
      </c>
      <c r="T10" s="9"/>
      <c r="U10" s="9"/>
      <c r="V10" s="9"/>
      <c r="W10" s="9" t="s">
        <v>18</v>
      </c>
      <c r="X10" s="9"/>
      <c r="Y10" s="9" t="s">
        <v>18</v>
      </c>
      <c r="Z10" s="9"/>
      <c r="AA10" s="9"/>
      <c r="AB10" s="9"/>
      <c r="AC10" s="9"/>
      <c r="AD10" s="9" t="s">
        <v>17</v>
      </c>
      <c r="AE10" s="9" t="s">
        <v>17</v>
      </c>
      <c r="AF10" s="9"/>
      <c r="AG10" s="10"/>
    </row>
    <row r="11" spans="1:33" ht="13.2" x14ac:dyDescent="0.25">
      <c r="A11" s="7" t="s">
        <v>21</v>
      </c>
      <c r="B11" s="5"/>
      <c r="C11" s="5"/>
      <c r="D11" s="5">
        <v>50</v>
      </c>
      <c r="E11" s="5">
        <v>20</v>
      </c>
      <c r="F11" s="5"/>
      <c r="G11" s="5"/>
      <c r="H11" s="5"/>
      <c r="I11" s="5"/>
      <c r="J11" s="5"/>
      <c r="K11" s="5">
        <v>50</v>
      </c>
      <c r="L11" s="5"/>
      <c r="M11" s="5"/>
      <c r="N11" s="5">
        <v>20</v>
      </c>
      <c r="O11" s="5">
        <v>30</v>
      </c>
      <c r="P11" s="5"/>
      <c r="Q11" s="5"/>
      <c r="R11" s="5"/>
      <c r="S11" s="5"/>
      <c r="T11" s="5"/>
      <c r="U11" s="5">
        <v>109</v>
      </c>
      <c r="V11" s="5">
        <v>47</v>
      </c>
      <c r="W11" s="5"/>
      <c r="X11" s="5"/>
      <c r="Y11" s="5"/>
      <c r="Z11" s="5"/>
      <c r="AA11" s="5"/>
      <c r="AB11" s="5"/>
      <c r="AC11" s="5"/>
      <c r="AD11" s="5"/>
      <c r="AE11" s="5">
        <v>70</v>
      </c>
      <c r="AF11" s="5"/>
      <c r="AG11" s="6">
        <f>SUM(B11:AF11)</f>
        <v>396</v>
      </c>
    </row>
    <row r="12" spans="1:33" ht="26.4" x14ac:dyDescent="0.25">
      <c r="A12" s="8" t="s">
        <v>5</v>
      </c>
      <c r="B12" s="9"/>
      <c r="C12" s="9"/>
      <c r="D12" s="9" t="s">
        <v>202</v>
      </c>
      <c r="E12" s="9" t="s">
        <v>203</v>
      </c>
      <c r="F12" s="9"/>
      <c r="G12" s="9"/>
      <c r="H12" s="9"/>
      <c r="I12" s="9"/>
      <c r="J12" s="9"/>
      <c r="K12" s="9" t="s">
        <v>204</v>
      </c>
      <c r="L12" s="9"/>
      <c r="M12" s="9"/>
      <c r="N12" s="9" t="s">
        <v>205</v>
      </c>
      <c r="O12" s="9" t="s">
        <v>206</v>
      </c>
      <c r="P12" s="9"/>
      <c r="Q12" s="9"/>
      <c r="R12" s="9"/>
      <c r="S12" s="9"/>
      <c r="T12" s="9"/>
      <c r="U12" s="9" t="s">
        <v>207</v>
      </c>
      <c r="V12" s="9" t="s">
        <v>208</v>
      </c>
      <c r="W12" s="9"/>
      <c r="X12" s="9"/>
      <c r="Y12" s="9"/>
      <c r="Z12" s="9"/>
      <c r="AA12" s="9"/>
      <c r="AB12" s="9"/>
      <c r="AC12" s="9"/>
      <c r="AD12" s="9"/>
      <c r="AE12" s="9" t="s">
        <v>209</v>
      </c>
      <c r="AF12" s="9"/>
      <c r="AG12" s="10"/>
    </row>
    <row r="13" spans="1:33" ht="13.2" x14ac:dyDescent="0.25">
      <c r="A13" s="7" t="s">
        <v>24</v>
      </c>
      <c r="B13" s="5"/>
      <c r="C13" s="5"/>
      <c r="D13" s="5">
        <v>40</v>
      </c>
      <c r="E13" s="5"/>
      <c r="F13" s="5"/>
      <c r="G13" s="5">
        <v>45</v>
      </c>
      <c r="H13" s="5">
        <v>75</v>
      </c>
      <c r="I13" s="5">
        <v>35</v>
      </c>
      <c r="J13" s="5">
        <v>250</v>
      </c>
      <c r="K13" s="5">
        <v>150</v>
      </c>
      <c r="L13" s="5"/>
      <c r="M13" s="5"/>
      <c r="N13" s="5">
        <v>80</v>
      </c>
      <c r="O13" s="5">
        <v>45</v>
      </c>
      <c r="P13" s="5"/>
      <c r="Q13" s="5">
        <v>50</v>
      </c>
      <c r="R13" s="5">
        <v>140</v>
      </c>
      <c r="S13" s="5"/>
      <c r="T13" s="5"/>
      <c r="U13" s="5"/>
      <c r="V13" s="5"/>
      <c r="W13" s="5">
        <v>135</v>
      </c>
      <c r="X13" s="5">
        <v>20</v>
      </c>
      <c r="Y13" s="5"/>
      <c r="Z13" s="5">
        <v>20</v>
      </c>
      <c r="AA13" s="5">
        <v>30</v>
      </c>
      <c r="AB13" s="5"/>
      <c r="AC13" s="5"/>
      <c r="AD13" s="5">
        <v>50</v>
      </c>
      <c r="AE13" s="5">
        <v>125</v>
      </c>
      <c r="AF13" s="5"/>
      <c r="AG13" s="6">
        <f>SUM(B13:AF13)</f>
        <v>1290</v>
      </c>
    </row>
    <row r="14" spans="1:33" ht="37.5" customHeight="1" x14ac:dyDescent="0.25">
      <c r="A14" s="8" t="s">
        <v>5</v>
      </c>
      <c r="B14" s="9"/>
      <c r="C14" s="9"/>
      <c r="D14" s="9" t="s">
        <v>210</v>
      </c>
      <c r="E14" s="9"/>
      <c r="F14" s="9"/>
      <c r="G14" s="9" t="s">
        <v>211</v>
      </c>
      <c r="H14" s="9" t="s">
        <v>212</v>
      </c>
      <c r="I14" s="9" t="s">
        <v>213</v>
      </c>
      <c r="J14" s="9" t="s">
        <v>214</v>
      </c>
      <c r="K14" s="9" t="s">
        <v>215</v>
      </c>
      <c r="L14" s="9"/>
      <c r="M14" s="9"/>
      <c r="N14" s="9" t="s">
        <v>216</v>
      </c>
      <c r="O14" s="9" t="s">
        <v>26</v>
      </c>
      <c r="P14" s="9"/>
      <c r="Q14" s="9" t="s">
        <v>217</v>
      </c>
      <c r="R14" s="9" t="s">
        <v>218</v>
      </c>
      <c r="S14" s="9"/>
      <c r="T14" s="9"/>
      <c r="U14" s="9"/>
      <c r="V14" s="9"/>
      <c r="W14" s="9" t="s">
        <v>219</v>
      </c>
      <c r="X14" s="9" t="s">
        <v>220</v>
      </c>
      <c r="Y14" s="9"/>
      <c r="Z14" s="9" t="s">
        <v>221</v>
      </c>
      <c r="AA14" s="9" t="s">
        <v>222</v>
      </c>
      <c r="AB14" s="9"/>
      <c r="AC14" s="9"/>
      <c r="AD14" s="9" t="s">
        <v>223</v>
      </c>
      <c r="AE14" s="9" t="s">
        <v>224</v>
      </c>
      <c r="AF14" s="9"/>
      <c r="AG14" s="10"/>
    </row>
    <row r="15" spans="1:33" ht="13.2" x14ac:dyDescent="0.25">
      <c r="A15" s="7" t="s">
        <v>44</v>
      </c>
      <c r="B15" s="5"/>
      <c r="C15" s="5"/>
      <c r="D15" s="5"/>
      <c r="E15" s="5"/>
      <c r="F15" s="5"/>
      <c r="G15" s="5"/>
      <c r="H15" s="5"/>
      <c r="I15" s="5"/>
      <c r="J15" s="5"/>
      <c r="K15" s="5">
        <v>10</v>
      </c>
      <c r="L15" s="5"/>
      <c r="M15" s="5"/>
      <c r="N15" s="5"/>
      <c r="O15" s="5"/>
      <c r="P15" s="5"/>
      <c r="Q15" s="5"/>
      <c r="R15" s="5"/>
      <c r="S15" s="5"/>
      <c r="T15" s="5"/>
      <c r="U15" s="5">
        <v>100</v>
      </c>
      <c r="V15" s="5"/>
      <c r="W15" s="5"/>
      <c r="X15" s="5"/>
      <c r="Y15" s="5"/>
      <c r="Z15" s="5">
        <v>244</v>
      </c>
      <c r="AA15" s="5">
        <v>28</v>
      </c>
      <c r="AB15" s="5"/>
      <c r="AC15" s="5"/>
      <c r="AD15" s="5"/>
      <c r="AE15" s="5"/>
      <c r="AF15" s="5">
        <v>95</v>
      </c>
      <c r="AG15" s="6">
        <f>SUM(B15:AF15)</f>
        <v>477</v>
      </c>
    </row>
    <row r="16" spans="1:33" ht="26.4" x14ac:dyDescent="0.25">
      <c r="A16" s="8" t="s">
        <v>5</v>
      </c>
      <c r="B16" s="9"/>
      <c r="C16" s="9"/>
      <c r="D16" s="9"/>
      <c r="E16" s="9"/>
      <c r="F16" s="9"/>
      <c r="G16" s="9"/>
      <c r="H16" s="9"/>
      <c r="I16" s="9"/>
      <c r="J16" s="9"/>
      <c r="K16" s="9" t="s">
        <v>225</v>
      </c>
      <c r="L16" s="9"/>
      <c r="M16" s="9"/>
      <c r="N16" s="9"/>
      <c r="O16" s="9"/>
      <c r="P16" s="9"/>
      <c r="Q16" s="9"/>
      <c r="R16" s="9"/>
      <c r="S16" s="9"/>
      <c r="T16" s="9"/>
      <c r="U16" s="9" t="s">
        <v>226</v>
      </c>
      <c r="V16" s="9"/>
      <c r="W16" s="9"/>
      <c r="X16" s="9"/>
      <c r="Y16" s="9"/>
      <c r="Z16" s="9" t="s">
        <v>227</v>
      </c>
      <c r="AA16" s="9" t="s">
        <v>52</v>
      </c>
      <c r="AB16" s="9"/>
      <c r="AC16" s="9"/>
      <c r="AD16" s="9"/>
      <c r="AE16" s="9"/>
      <c r="AF16" s="9">
        <v>7</v>
      </c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f>SUM(B17:AF17)</f>
        <v>0</v>
      </c>
    </row>
    <row r="18" spans="1:33" ht="13.2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50</v>
      </c>
      <c r="B21" s="5"/>
      <c r="C21" s="5"/>
      <c r="D21" s="5"/>
      <c r="E21" s="5"/>
      <c r="F21" s="5">
        <v>1000</v>
      </c>
      <c r="G21" s="5"/>
      <c r="H21" s="5"/>
      <c r="I21" s="5">
        <v>1278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2278</v>
      </c>
    </row>
    <row r="22" spans="1:33" ht="13.2" x14ac:dyDescent="0.25">
      <c r="A22" s="8" t="s">
        <v>5</v>
      </c>
      <c r="B22" s="9"/>
      <c r="C22" s="9"/>
      <c r="D22" s="9"/>
      <c r="E22" s="9"/>
      <c r="F22" s="9" t="s">
        <v>228</v>
      </c>
      <c r="G22" s="9"/>
      <c r="H22" s="9"/>
      <c r="I22" s="9" t="s">
        <v>229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/>
      <c r="J23" s="5">
        <v>60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60</v>
      </c>
    </row>
    <row r="24" spans="1:33" ht="26.4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/>
      <c r="J24" s="9" t="s">
        <v>230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1:33" ht="13.2" x14ac:dyDescent="0.25">
      <c r="A26" s="12" t="s">
        <v>57</v>
      </c>
      <c r="B26" s="13">
        <f t="shared" ref="B26:AG26" si="0">SUM(B5+B7+B9+B11+B13+B15+B17+B19+B21+B23)</f>
        <v>90</v>
      </c>
      <c r="C26" s="13">
        <f t="shared" si="0"/>
        <v>0</v>
      </c>
      <c r="D26" s="13">
        <f t="shared" si="0"/>
        <v>290</v>
      </c>
      <c r="E26" s="13">
        <f t="shared" si="0"/>
        <v>20</v>
      </c>
      <c r="F26" s="13">
        <f t="shared" si="0"/>
        <v>1000</v>
      </c>
      <c r="G26" s="13">
        <f t="shared" si="0"/>
        <v>45</v>
      </c>
      <c r="H26" s="13">
        <f t="shared" si="0"/>
        <v>675</v>
      </c>
      <c r="I26" s="13">
        <f t="shared" si="0"/>
        <v>1513</v>
      </c>
      <c r="J26" s="13">
        <f t="shared" si="0"/>
        <v>510</v>
      </c>
      <c r="K26" s="13">
        <f t="shared" si="0"/>
        <v>210</v>
      </c>
      <c r="L26" s="13">
        <f t="shared" si="0"/>
        <v>150</v>
      </c>
      <c r="M26" s="13">
        <f t="shared" si="0"/>
        <v>0</v>
      </c>
      <c r="N26" s="13">
        <f t="shared" si="0"/>
        <v>3125</v>
      </c>
      <c r="O26" s="13">
        <f t="shared" si="0"/>
        <v>75</v>
      </c>
      <c r="P26" s="13">
        <f t="shared" si="0"/>
        <v>200</v>
      </c>
      <c r="Q26" s="13">
        <f t="shared" si="0"/>
        <v>50</v>
      </c>
      <c r="R26" s="13">
        <f t="shared" si="0"/>
        <v>140</v>
      </c>
      <c r="S26" s="14">
        <f t="shared" si="0"/>
        <v>200</v>
      </c>
      <c r="T26" s="13">
        <f t="shared" si="0"/>
        <v>0</v>
      </c>
      <c r="U26" s="13">
        <f t="shared" si="0"/>
        <v>209</v>
      </c>
      <c r="V26" s="13">
        <f t="shared" si="0"/>
        <v>47</v>
      </c>
      <c r="W26" s="13">
        <f t="shared" si="0"/>
        <v>410</v>
      </c>
      <c r="X26" s="13">
        <f t="shared" si="0"/>
        <v>20</v>
      </c>
      <c r="Y26" s="13">
        <f t="shared" si="0"/>
        <v>200</v>
      </c>
      <c r="Z26" s="13">
        <f t="shared" si="0"/>
        <v>264</v>
      </c>
      <c r="AA26" s="13">
        <f t="shared" si="0"/>
        <v>258</v>
      </c>
      <c r="AB26" s="13">
        <f>SUM(AB5+AB7+AB9+AB11+AB13+AB15+AB17+AB19+AB21+AB23)</f>
        <v>0</v>
      </c>
      <c r="AC26" s="13">
        <f t="shared" si="0"/>
        <v>0</v>
      </c>
      <c r="AD26" s="13">
        <f t="shared" si="0"/>
        <v>200</v>
      </c>
      <c r="AE26" s="13">
        <f>SUM(AE5+AE7+AE9+AE11+AE13+AE15+AE17+AE19+AE21+AE23)</f>
        <v>974</v>
      </c>
      <c r="AF26" s="13">
        <f t="shared" si="0"/>
        <v>95</v>
      </c>
      <c r="AG26" s="15">
        <f t="shared" si="0"/>
        <v>10970</v>
      </c>
    </row>
  </sheetData>
  <mergeCells count="2">
    <mergeCell ref="A1:A2"/>
    <mergeCell ref="B1:AG2"/>
  </mergeCell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4CF0-0B9C-4A0F-B161-41CA15ACAB63}">
  <sheetPr>
    <outlinePr summaryBelow="0" summaryRight="0"/>
  </sheetPr>
  <dimension ref="A1:AG26"/>
  <sheetViews>
    <sheetView showGridLines="0" workbookViewId="0">
      <pane xSplit="1" ySplit="3" topLeftCell="AB9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ColWidth="12.5546875" defaultRowHeight="15.75" customHeight="1" x14ac:dyDescent="0.25"/>
  <cols>
    <col min="1" max="1" width="27.6640625" customWidth="1"/>
    <col min="2" max="2" width="9.33203125" customWidth="1"/>
    <col min="3" max="3" width="10" customWidth="1"/>
    <col min="4" max="4" width="7.88671875" customWidth="1"/>
    <col min="5" max="5" width="9.33203125" customWidth="1"/>
    <col min="6" max="6" width="13.109375" customWidth="1"/>
    <col min="7" max="10" width="9.33203125" customWidth="1"/>
    <col min="11" max="11" width="10.6640625" customWidth="1"/>
    <col min="12" max="12" width="9.33203125" customWidth="1"/>
    <col min="13" max="13" width="10.109375" customWidth="1"/>
    <col min="14" max="14" width="12.6640625" customWidth="1"/>
    <col min="15" max="17" width="9.33203125" customWidth="1"/>
    <col min="18" max="18" width="16.44140625" customWidth="1"/>
    <col min="19" max="30" width="9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11</v>
      </c>
      <c r="Q5" s="5">
        <v>49</v>
      </c>
      <c r="R5" s="5">
        <v>33</v>
      </c>
      <c r="S5" s="5"/>
      <c r="T5" s="5"/>
      <c r="U5" s="5"/>
      <c r="V5" s="5"/>
      <c r="W5" s="5"/>
      <c r="X5" s="5">
        <v>29</v>
      </c>
      <c r="Y5" s="5"/>
      <c r="Z5" s="5"/>
      <c r="AA5" s="5"/>
      <c r="AB5" s="5"/>
      <c r="AC5" s="5"/>
      <c r="AD5" s="5"/>
      <c r="AE5" s="5"/>
      <c r="AF5" s="5"/>
      <c r="AG5" s="6">
        <f>SUM(B5:AF5)</f>
        <v>122</v>
      </c>
    </row>
    <row r="6" spans="1:33" ht="26.4" x14ac:dyDescent="0.25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 t="s">
        <v>195</v>
      </c>
      <c r="Q6" s="9" t="s">
        <v>231</v>
      </c>
      <c r="R6" s="9" t="s">
        <v>232</v>
      </c>
      <c r="S6" s="9"/>
      <c r="T6" s="9"/>
      <c r="U6" s="9"/>
      <c r="V6" s="9"/>
      <c r="W6" s="9"/>
      <c r="X6" s="9" t="s">
        <v>233</v>
      </c>
      <c r="Y6" s="9"/>
      <c r="Z6" s="9"/>
      <c r="AA6" s="9"/>
      <c r="AB6" s="9"/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>
        <v>150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150</v>
      </c>
    </row>
    <row r="8" spans="1:33" ht="13.2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 t="s">
        <v>181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>
        <v>100</v>
      </c>
      <c r="D9" s="5"/>
      <c r="E9" s="5"/>
      <c r="F9" s="5">
        <v>200</v>
      </c>
      <c r="G9" s="5"/>
      <c r="H9" s="5">
        <v>200</v>
      </c>
      <c r="I9" s="5"/>
      <c r="J9" s="5"/>
      <c r="K9" s="5"/>
      <c r="L9" s="5">
        <v>150</v>
      </c>
      <c r="M9" s="5"/>
      <c r="N9" s="5">
        <v>160</v>
      </c>
      <c r="O9" s="5">
        <v>300</v>
      </c>
      <c r="P9" s="5"/>
      <c r="Q9" s="5"/>
      <c r="R9" s="5"/>
      <c r="S9" s="5"/>
      <c r="T9" s="5"/>
      <c r="U9" s="5">
        <v>60</v>
      </c>
      <c r="V9" s="5"/>
      <c r="W9" s="5">
        <v>150</v>
      </c>
      <c r="X9" s="5"/>
      <c r="Y9" s="5">
        <v>100</v>
      </c>
      <c r="Z9" s="5"/>
      <c r="AA9" s="5"/>
      <c r="AB9" s="5">
        <v>200</v>
      </c>
      <c r="AC9" s="5"/>
      <c r="AD9" s="5"/>
      <c r="AE9" s="5">
        <v>110</v>
      </c>
      <c r="AF9" s="5"/>
      <c r="AG9" s="6">
        <f>SUM(B9:AF9)</f>
        <v>1730</v>
      </c>
    </row>
    <row r="10" spans="1:33" ht="13.2" x14ac:dyDescent="0.25">
      <c r="A10" s="8" t="s">
        <v>5</v>
      </c>
      <c r="B10" s="9"/>
      <c r="C10" s="9" t="s">
        <v>18</v>
      </c>
      <c r="D10" s="9"/>
      <c r="E10" s="9"/>
      <c r="F10" s="9" t="s">
        <v>18</v>
      </c>
      <c r="G10" s="9"/>
      <c r="H10" s="9" t="s">
        <v>234</v>
      </c>
      <c r="I10" s="9"/>
      <c r="J10" s="9"/>
      <c r="K10" s="9"/>
      <c r="L10" s="9" t="s">
        <v>17</v>
      </c>
      <c r="M10" s="9"/>
      <c r="N10" s="9" t="s">
        <v>18</v>
      </c>
      <c r="O10" s="9" t="s">
        <v>235</v>
      </c>
      <c r="P10" s="9"/>
      <c r="Q10" s="9"/>
      <c r="R10" s="9"/>
      <c r="S10" s="9"/>
      <c r="T10" s="9"/>
      <c r="U10" s="9" t="s">
        <v>18</v>
      </c>
      <c r="V10" s="9"/>
      <c r="W10" s="9" t="s">
        <v>18</v>
      </c>
      <c r="X10" s="9"/>
      <c r="Y10" s="9" t="s">
        <v>18</v>
      </c>
      <c r="Z10" s="9"/>
      <c r="AA10" s="9"/>
      <c r="AB10" s="9" t="s">
        <v>18</v>
      </c>
      <c r="AC10" s="9"/>
      <c r="AD10" s="9"/>
      <c r="AE10" s="9" t="s">
        <v>18</v>
      </c>
      <c r="AF10" s="9"/>
      <c r="AG10" s="10"/>
    </row>
    <row r="11" spans="1:33" ht="13.2" x14ac:dyDescent="0.25">
      <c r="A11" s="7" t="s">
        <v>21</v>
      </c>
      <c r="B11" s="5">
        <v>28</v>
      </c>
      <c r="C11" s="5">
        <v>38</v>
      </c>
      <c r="D11" s="5">
        <v>65</v>
      </c>
      <c r="E11" s="5"/>
      <c r="F11" s="5"/>
      <c r="G11" s="5">
        <v>50</v>
      </c>
      <c r="H11" s="5"/>
      <c r="I11" s="5"/>
      <c r="J11" s="5"/>
      <c r="K11" s="5"/>
      <c r="L11" s="5"/>
      <c r="M11" s="5"/>
      <c r="N11" s="5">
        <v>87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140</v>
      </c>
      <c r="AC11" s="5">
        <v>15</v>
      </c>
      <c r="AD11" s="5"/>
      <c r="AE11" s="5">
        <v>10</v>
      </c>
      <c r="AF11" s="5">
        <v>15</v>
      </c>
      <c r="AG11" s="6">
        <f>SUM(B11:AF11)</f>
        <v>448</v>
      </c>
    </row>
    <row r="12" spans="1:33" ht="42" customHeight="1" x14ac:dyDescent="0.25">
      <c r="A12" s="8" t="s">
        <v>5</v>
      </c>
      <c r="B12" s="9" t="s">
        <v>52</v>
      </c>
      <c r="C12" s="9" t="s">
        <v>236</v>
      </c>
      <c r="D12" s="9" t="s">
        <v>237</v>
      </c>
      <c r="E12" s="9"/>
      <c r="F12" s="9"/>
      <c r="G12" s="9" t="s">
        <v>238</v>
      </c>
      <c r="H12" s="9"/>
      <c r="I12" s="9"/>
      <c r="J12" s="9"/>
      <c r="K12" s="9"/>
      <c r="L12" s="9"/>
      <c r="M12" s="9"/>
      <c r="N12" s="9" t="s">
        <v>239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 t="s">
        <v>240</v>
      </c>
      <c r="AC12" s="9" t="s">
        <v>241</v>
      </c>
      <c r="AD12" s="9"/>
      <c r="AE12" s="9" t="s">
        <v>242</v>
      </c>
      <c r="AF12" s="9" t="s">
        <v>241</v>
      </c>
      <c r="AG12" s="10"/>
    </row>
    <row r="13" spans="1:33" ht="13.2" x14ac:dyDescent="0.25">
      <c r="A13" s="7" t="s">
        <v>24</v>
      </c>
      <c r="B13" s="5">
        <v>90</v>
      </c>
      <c r="C13" s="5">
        <v>45</v>
      </c>
      <c r="D13" s="5"/>
      <c r="E13" s="5">
        <v>20</v>
      </c>
      <c r="F13" s="5">
        <v>100</v>
      </c>
      <c r="G13" s="5">
        <v>20</v>
      </c>
      <c r="H13" s="5">
        <v>35</v>
      </c>
      <c r="I13" s="5">
        <v>30</v>
      </c>
      <c r="J13" s="5"/>
      <c r="K13" s="5">
        <v>19</v>
      </c>
      <c r="L13" s="5">
        <v>140</v>
      </c>
      <c r="M13" s="5"/>
      <c r="N13" s="5">
        <v>110</v>
      </c>
      <c r="O13" s="5">
        <v>70</v>
      </c>
      <c r="P13" s="5"/>
      <c r="Q13" s="5"/>
      <c r="R13" s="5">
        <v>70</v>
      </c>
      <c r="S13" s="5">
        <v>30</v>
      </c>
      <c r="T13" s="5"/>
      <c r="U13" s="5"/>
      <c r="V13" s="5">
        <v>200</v>
      </c>
      <c r="W13" s="5">
        <v>100</v>
      </c>
      <c r="X13" s="5"/>
      <c r="Y13" s="5"/>
      <c r="Z13" s="5"/>
      <c r="AA13" s="5"/>
      <c r="AB13" s="5"/>
      <c r="AC13" s="5">
        <v>115</v>
      </c>
      <c r="AD13" s="5">
        <v>20</v>
      </c>
      <c r="AE13" s="5">
        <v>60</v>
      </c>
      <c r="AF13" s="5">
        <v>42</v>
      </c>
      <c r="AG13" s="6">
        <f>SUM(B13:AF13)</f>
        <v>1316</v>
      </c>
    </row>
    <row r="14" spans="1:33" ht="37.5" customHeight="1" x14ac:dyDescent="0.25">
      <c r="A14" s="8" t="s">
        <v>5</v>
      </c>
      <c r="B14" s="9" t="s">
        <v>243</v>
      </c>
      <c r="C14" s="9" t="s">
        <v>244</v>
      </c>
      <c r="D14" s="9"/>
      <c r="E14" s="9" t="s">
        <v>245</v>
      </c>
      <c r="F14" s="9" t="s">
        <v>246</v>
      </c>
      <c r="G14" s="9" t="s">
        <v>81</v>
      </c>
      <c r="H14" s="9" t="s">
        <v>247</v>
      </c>
      <c r="I14" s="9" t="s">
        <v>248</v>
      </c>
      <c r="J14" s="9"/>
      <c r="K14" s="9"/>
      <c r="L14" s="9" t="s">
        <v>249</v>
      </c>
      <c r="M14" s="9"/>
      <c r="N14" s="9" t="s">
        <v>250</v>
      </c>
      <c r="O14" s="9" t="s">
        <v>251</v>
      </c>
      <c r="P14" s="9"/>
      <c r="Q14" s="9"/>
      <c r="R14" s="9" t="s">
        <v>252</v>
      </c>
      <c r="S14" s="9" t="s">
        <v>253</v>
      </c>
      <c r="T14" s="9"/>
      <c r="U14" s="9"/>
      <c r="V14" s="9" t="s">
        <v>254</v>
      </c>
      <c r="W14" s="9" t="s">
        <v>255</v>
      </c>
      <c r="X14" s="9"/>
      <c r="Y14" s="9"/>
      <c r="Z14" s="9"/>
      <c r="AA14" s="9"/>
      <c r="AB14" s="9"/>
      <c r="AC14" s="9" t="s">
        <v>256</v>
      </c>
      <c r="AD14" s="9" t="s">
        <v>221</v>
      </c>
      <c r="AE14" s="9" t="s">
        <v>257</v>
      </c>
      <c r="AF14" s="9" t="s">
        <v>52</v>
      </c>
      <c r="AG14" s="10"/>
    </row>
    <row r="15" spans="1:33" ht="13.2" x14ac:dyDescent="0.25">
      <c r="A15" s="7" t="s">
        <v>44</v>
      </c>
      <c r="B15" s="5"/>
      <c r="C15" s="5"/>
      <c r="D15" s="5">
        <v>10</v>
      </c>
      <c r="E15" s="5"/>
      <c r="F15" s="5">
        <v>20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180</v>
      </c>
      <c r="R15" s="5"/>
      <c r="S15" s="5">
        <v>4</v>
      </c>
      <c r="T15" s="5">
        <v>300</v>
      </c>
      <c r="U15" s="5"/>
      <c r="V15" s="5"/>
      <c r="W15" s="5">
        <v>25</v>
      </c>
      <c r="X15" s="5"/>
      <c r="Y15" s="5">
        <v>130</v>
      </c>
      <c r="Z15" s="5"/>
      <c r="AA15" s="5"/>
      <c r="AB15" s="5">
        <v>110</v>
      </c>
      <c r="AC15" s="5"/>
      <c r="AD15" s="5"/>
      <c r="AE15" s="5">
        <v>50</v>
      </c>
      <c r="AF15" s="5">
        <v>38</v>
      </c>
      <c r="AG15" s="6">
        <f>SUM(B15:AF15)</f>
        <v>867</v>
      </c>
    </row>
    <row r="16" spans="1:33" ht="26.4" x14ac:dyDescent="0.25">
      <c r="A16" s="8" t="s">
        <v>5</v>
      </c>
      <c r="B16" s="9"/>
      <c r="C16" s="9"/>
      <c r="D16" s="9" t="s">
        <v>258</v>
      </c>
      <c r="E16" s="9"/>
      <c r="F16" s="9" t="s">
        <v>259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 t="s">
        <v>260</v>
      </c>
      <c r="R16" s="9"/>
      <c r="S16" s="9" t="s">
        <v>261</v>
      </c>
      <c r="T16" s="9" t="s">
        <v>262</v>
      </c>
      <c r="U16" s="9"/>
      <c r="V16" s="9"/>
      <c r="W16" s="9" t="s">
        <v>39</v>
      </c>
      <c r="X16" s="9"/>
      <c r="Y16" s="9" t="s">
        <v>263</v>
      </c>
      <c r="Z16" s="9"/>
      <c r="AA16" s="9"/>
      <c r="AB16" s="9" t="s">
        <v>264</v>
      </c>
      <c r="AC16" s="9"/>
      <c r="AD16" s="9"/>
      <c r="AE16" s="9" t="s">
        <v>39</v>
      </c>
      <c r="AF16" s="9" t="s">
        <v>265</v>
      </c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500</v>
      </c>
      <c r="AB17" s="5"/>
      <c r="AC17" s="5"/>
      <c r="AD17" s="5"/>
      <c r="AE17" s="5"/>
      <c r="AF17" s="5"/>
      <c r="AG17" s="6">
        <f>SUM(B17:AF17)</f>
        <v>500</v>
      </c>
    </row>
    <row r="18" spans="1:33" ht="26.4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 t="s">
        <v>266</v>
      </c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50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5800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5800</v>
      </c>
    </row>
    <row r="22" spans="1:33" ht="26.4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 t="s">
        <v>267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>
        <v>35</v>
      </c>
      <c r="G23" s="5"/>
      <c r="H23" s="5"/>
      <c r="I23" s="5"/>
      <c r="J23" s="5"/>
      <c r="K23" s="5">
        <v>10</v>
      </c>
      <c r="L23" s="5"/>
      <c r="M23" s="5"/>
      <c r="N23" s="5"/>
      <c r="O23" s="5"/>
      <c r="P23" s="5">
        <v>80</v>
      </c>
      <c r="Q23" s="5"/>
      <c r="R23" s="5"/>
      <c r="S23" s="5"/>
      <c r="T23" s="5"/>
      <c r="U23" s="5">
        <v>100</v>
      </c>
      <c r="V23" s="5"/>
      <c r="W23" s="5">
        <v>0</v>
      </c>
      <c r="X23" s="5"/>
      <c r="Y23" s="5">
        <v>3270</v>
      </c>
      <c r="Z23" s="5"/>
      <c r="AA23" s="5"/>
      <c r="AB23" s="5"/>
      <c r="AC23" s="5"/>
      <c r="AD23" s="5"/>
      <c r="AE23" s="5"/>
      <c r="AF23" s="5"/>
      <c r="AG23" s="6">
        <f>SUM(B23:AF23)</f>
        <v>3495</v>
      </c>
    </row>
    <row r="24" spans="1:33" ht="26.4" x14ac:dyDescent="0.25">
      <c r="A24" s="8" t="s">
        <v>5</v>
      </c>
      <c r="B24" s="9"/>
      <c r="C24" s="9"/>
      <c r="D24" s="9"/>
      <c r="E24" s="9"/>
      <c r="F24" s="9" t="s">
        <v>268</v>
      </c>
      <c r="G24" s="9"/>
      <c r="H24" s="9"/>
      <c r="I24" s="9"/>
      <c r="J24" s="9"/>
      <c r="K24" s="9" t="s">
        <v>269</v>
      </c>
      <c r="L24" s="9"/>
      <c r="M24" s="9"/>
      <c r="N24" s="9"/>
      <c r="O24" s="9"/>
      <c r="P24" s="9" t="s">
        <v>175</v>
      </c>
      <c r="Q24" s="9"/>
      <c r="R24" s="9"/>
      <c r="S24" s="9"/>
      <c r="T24" s="9"/>
      <c r="U24" s="9" t="s">
        <v>270</v>
      </c>
      <c r="V24" s="9"/>
      <c r="W24" s="9"/>
      <c r="X24" s="9"/>
      <c r="Y24" s="9" t="s">
        <v>271</v>
      </c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1:33" ht="13.2" x14ac:dyDescent="0.25">
      <c r="A26" s="12" t="s">
        <v>57</v>
      </c>
      <c r="B26" s="13">
        <f t="shared" ref="B26:AG26" si="0">SUM(B5+B7+B9+B11+B13+B15+B17+B19+B21+B23)</f>
        <v>118</v>
      </c>
      <c r="C26" s="13">
        <f t="shared" si="0"/>
        <v>183</v>
      </c>
      <c r="D26" s="13">
        <f t="shared" si="0"/>
        <v>75</v>
      </c>
      <c r="E26" s="13">
        <f t="shared" si="0"/>
        <v>20</v>
      </c>
      <c r="F26" s="13">
        <f t="shared" si="0"/>
        <v>355</v>
      </c>
      <c r="G26" s="13">
        <f t="shared" si="0"/>
        <v>70</v>
      </c>
      <c r="H26" s="13">
        <f t="shared" si="0"/>
        <v>235</v>
      </c>
      <c r="I26" s="13">
        <f t="shared" si="0"/>
        <v>30</v>
      </c>
      <c r="J26" s="13">
        <f t="shared" si="0"/>
        <v>0</v>
      </c>
      <c r="K26" s="13">
        <f t="shared" si="0"/>
        <v>29</v>
      </c>
      <c r="L26" s="13">
        <f t="shared" si="0"/>
        <v>290</v>
      </c>
      <c r="M26" s="13">
        <f t="shared" si="0"/>
        <v>5800</v>
      </c>
      <c r="N26" s="13">
        <f t="shared" si="0"/>
        <v>357</v>
      </c>
      <c r="O26" s="13">
        <f t="shared" si="0"/>
        <v>370</v>
      </c>
      <c r="P26" s="13">
        <f t="shared" si="0"/>
        <v>91</v>
      </c>
      <c r="Q26" s="13">
        <f t="shared" si="0"/>
        <v>229</v>
      </c>
      <c r="R26" s="13">
        <f t="shared" si="0"/>
        <v>103</v>
      </c>
      <c r="S26" s="14">
        <f t="shared" si="0"/>
        <v>34</v>
      </c>
      <c r="T26" s="13">
        <f t="shared" si="0"/>
        <v>300</v>
      </c>
      <c r="U26" s="13">
        <f t="shared" si="0"/>
        <v>310</v>
      </c>
      <c r="V26" s="13">
        <f t="shared" si="0"/>
        <v>200</v>
      </c>
      <c r="W26" s="13">
        <f t="shared" si="0"/>
        <v>275</v>
      </c>
      <c r="X26" s="13">
        <f t="shared" si="0"/>
        <v>29</v>
      </c>
      <c r="Y26" s="13">
        <f t="shared" si="0"/>
        <v>3500</v>
      </c>
      <c r="Z26" s="13">
        <f t="shared" si="0"/>
        <v>0</v>
      </c>
      <c r="AA26" s="13">
        <f t="shared" si="0"/>
        <v>500</v>
      </c>
      <c r="AB26" s="13">
        <f>SUM(AB5+AB7+AB9+AB11+AB13+AB15+AB17+AB19+AB21+AB23)</f>
        <v>450</v>
      </c>
      <c r="AC26" s="13">
        <f t="shared" si="0"/>
        <v>130</v>
      </c>
      <c r="AD26" s="13">
        <f t="shared" si="0"/>
        <v>20</v>
      </c>
      <c r="AE26" s="13">
        <f>SUM(AE5+AE7+AE9+AE11+AE13+AE15+AE17+AE19+AE21+AE23)</f>
        <v>230</v>
      </c>
      <c r="AF26" s="13">
        <f t="shared" si="0"/>
        <v>95</v>
      </c>
      <c r="AG26" s="15">
        <f t="shared" si="0"/>
        <v>14428</v>
      </c>
    </row>
  </sheetData>
  <mergeCells count="2">
    <mergeCell ref="A1:A2"/>
    <mergeCell ref="B1:AG2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3447-7B73-4EE5-82AA-EAC69B12962C}">
  <sheetPr>
    <outlinePr summaryBelow="0" summaryRight="0"/>
  </sheetPr>
  <dimension ref="A1:AG26"/>
  <sheetViews>
    <sheetView showGridLines="0" workbookViewId="0">
      <pane xSplit="1" ySplit="3" topLeftCell="W4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ColWidth="12.5546875" defaultRowHeight="15.75" customHeight="1" x14ac:dyDescent="0.25"/>
  <cols>
    <col min="1" max="1" width="27.6640625" customWidth="1"/>
    <col min="2" max="2" width="9.33203125" customWidth="1"/>
    <col min="3" max="3" width="11.88671875" customWidth="1"/>
    <col min="4" max="4" width="7.88671875" customWidth="1"/>
    <col min="5" max="5" width="9.33203125" customWidth="1"/>
    <col min="6" max="6" width="13.109375" customWidth="1"/>
    <col min="7" max="10" width="9.33203125" customWidth="1"/>
    <col min="11" max="11" width="10.6640625" customWidth="1"/>
    <col min="12" max="12" width="9.33203125" customWidth="1"/>
    <col min="13" max="13" width="10.109375" customWidth="1"/>
    <col min="14" max="14" width="12.6640625" customWidth="1"/>
    <col min="15" max="17" width="9.33203125" customWidth="1"/>
    <col min="18" max="18" width="11.88671875" customWidth="1"/>
    <col min="19" max="19" width="7.5546875" customWidth="1"/>
    <col min="20" max="25" width="9.33203125" customWidth="1"/>
    <col min="26" max="26" width="10.44140625" customWidth="1"/>
    <col min="27" max="30" width="9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>
        <v>50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>
        <f>SUM(B5:AF5)</f>
        <v>50</v>
      </c>
    </row>
    <row r="6" spans="1:33" ht="13.2" x14ac:dyDescent="0.25">
      <c r="A6" s="8" t="s">
        <v>5</v>
      </c>
      <c r="B6" s="9"/>
      <c r="C6" s="9"/>
      <c r="D6" s="9" t="s">
        <v>197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1428</v>
      </c>
      <c r="W7" s="5"/>
      <c r="X7" s="5"/>
      <c r="Y7" s="5"/>
      <c r="Z7" s="5"/>
      <c r="AA7" s="5"/>
      <c r="AB7" s="5"/>
      <c r="AC7" s="5"/>
      <c r="AD7" s="5">
        <v>60</v>
      </c>
      <c r="AE7" s="5"/>
      <c r="AF7" s="5"/>
      <c r="AG7" s="6">
        <f>SUM(B7:AF7)</f>
        <v>1488</v>
      </c>
    </row>
    <row r="8" spans="1:33" ht="26.4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 t="s">
        <v>272</v>
      </c>
      <c r="W8" s="9"/>
      <c r="X8" s="9"/>
      <c r="Y8" s="9"/>
      <c r="Z8" s="9"/>
      <c r="AA8" s="9"/>
      <c r="AB8" s="9"/>
      <c r="AC8" s="9"/>
      <c r="AD8" s="9" t="s">
        <v>273</v>
      </c>
      <c r="AE8" s="9"/>
      <c r="AF8" s="9"/>
      <c r="AG8" s="10"/>
    </row>
    <row r="9" spans="1:33" ht="13.2" x14ac:dyDescent="0.25">
      <c r="A9" s="7" t="s">
        <v>16</v>
      </c>
      <c r="B9" s="5"/>
      <c r="C9" s="5">
        <v>250</v>
      </c>
      <c r="D9" s="5"/>
      <c r="E9" s="5">
        <v>150</v>
      </c>
      <c r="F9" s="5"/>
      <c r="G9" s="5">
        <v>80</v>
      </c>
      <c r="H9" s="5"/>
      <c r="I9" s="5"/>
      <c r="J9" s="5">
        <v>200</v>
      </c>
      <c r="K9" s="5"/>
      <c r="L9" s="5">
        <v>200</v>
      </c>
      <c r="M9" s="5"/>
      <c r="N9" s="5"/>
      <c r="O9" s="5"/>
      <c r="P9" s="5"/>
      <c r="Q9" s="5">
        <v>200</v>
      </c>
      <c r="R9" s="5"/>
      <c r="S9" s="5">
        <v>200</v>
      </c>
      <c r="T9" s="5"/>
      <c r="U9" s="5"/>
      <c r="V9" s="5">
        <v>130</v>
      </c>
      <c r="W9" s="5"/>
      <c r="X9" s="5">
        <v>200</v>
      </c>
      <c r="Y9" s="5"/>
      <c r="Z9" s="5"/>
      <c r="AA9" s="5">
        <v>200</v>
      </c>
      <c r="AB9" s="5"/>
      <c r="AC9" s="5">
        <v>100</v>
      </c>
      <c r="AD9" s="5"/>
      <c r="AE9" s="5">
        <v>200</v>
      </c>
      <c r="AF9" s="5"/>
      <c r="AG9" s="6">
        <f>SUM(B9:AF9)</f>
        <v>2110</v>
      </c>
    </row>
    <row r="10" spans="1:33" ht="26.4" x14ac:dyDescent="0.25">
      <c r="A10" s="8" t="s">
        <v>5</v>
      </c>
      <c r="B10" s="9"/>
      <c r="C10" s="9" t="s">
        <v>18</v>
      </c>
      <c r="D10" s="9"/>
      <c r="E10" s="9" t="s">
        <v>18</v>
      </c>
      <c r="F10" s="9"/>
      <c r="G10" s="9" t="s">
        <v>18</v>
      </c>
      <c r="H10" s="9"/>
      <c r="I10" s="9"/>
      <c r="J10" s="9" t="s">
        <v>17</v>
      </c>
      <c r="K10" s="9"/>
      <c r="L10" s="9" t="s">
        <v>18</v>
      </c>
      <c r="M10" s="9"/>
      <c r="N10" s="9"/>
      <c r="O10" s="9"/>
      <c r="P10" s="9"/>
      <c r="Q10" s="9" t="s">
        <v>18</v>
      </c>
      <c r="R10" s="9"/>
      <c r="S10" s="9" t="s">
        <v>18</v>
      </c>
      <c r="T10" s="9"/>
      <c r="U10" s="9"/>
      <c r="V10" s="9" t="s">
        <v>274</v>
      </c>
      <c r="W10" s="9"/>
      <c r="X10" s="9" t="s">
        <v>18</v>
      </c>
      <c r="Y10" s="9"/>
      <c r="Z10" s="9"/>
      <c r="AA10" s="9" t="s">
        <v>18</v>
      </c>
      <c r="AB10" s="9"/>
      <c r="AC10" s="9" t="s">
        <v>18</v>
      </c>
      <c r="AD10" s="9"/>
      <c r="AE10" s="9" t="s">
        <v>18</v>
      </c>
      <c r="AF10" s="9"/>
      <c r="AG10" s="10"/>
    </row>
    <row r="11" spans="1:33" ht="13.2" x14ac:dyDescent="0.25">
      <c r="A11" s="7" t="s">
        <v>21</v>
      </c>
      <c r="B11" s="5">
        <v>82</v>
      </c>
      <c r="C11" s="5"/>
      <c r="D11" s="5">
        <v>15</v>
      </c>
      <c r="E11" s="5"/>
      <c r="F11" s="5"/>
      <c r="G11" s="5"/>
      <c r="H11" s="5"/>
      <c r="I11" s="5"/>
      <c r="J11" s="5">
        <v>93</v>
      </c>
      <c r="K11" s="5"/>
      <c r="L11" s="5"/>
      <c r="M11" s="5"/>
      <c r="N11" s="5"/>
      <c r="O11" s="5">
        <v>160</v>
      </c>
      <c r="P11" s="5"/>
      <c r="Q11" s="5"/>
      <c r="R11" s="5"/>
      <c r="S11" s="5"/>
      <c r="T11" s="5"/>
      <c r="U11" s="5"/>
      <c r="V11" s="5">
        <v>0</v>
      </c>
      <c r="W11" s="5">
        <v>44</v>
      </c>
      <c r="X11" s="5"/>
      <c r="Y11" s="5"/>
      <c r="Z11" s="5">
        <v>15</v>
      </c>
      <c r="AA11" s="5"/>
      <c r="AB11" s="5"/>
      <c r="AC11" s="5"/>
      <c r="AD11" s="5">
        <v>55</v>
      </c>
      <c r="AE11" s="5"/>
      <c r="AF11" s="5"/>
      <c r="AG11" s="6">
        <f>SUM(B11:AF11)</f>
        <v>464</v>
      </c>
    </row>
    <row r="12" spans="1:33" ht="42" customHeight="1" x14ac:dyDescent="0.25">
      <c r="A12" s="8" t="s">
        <v>5</v>
      </c>
      <c r="B12" s="9" t="s">
        <v>275</v>
      </c>
      <c r="C12" s="9"/>
      <c r="D12" s="9" t="s">
        <v>241</v>
      </c>
      <c r="E12" s="9"/>
      <c r="F12" s="9"/>
      <c r="G12" s="9"/>
      <c r="H12" s="9"/>
      <c r="I12" s="9"/>
      <c r="J12" s="9" t="s">
        <v>276</v>
      </c>
      <c r="K12" s="9"/>
      <c r="L12" s="9"/>
      <c r="M12" s="9"/>
      <c r="N12" s="9"/>
      <c r="O12" s="9" t="s">
        <v>277</v>
      </c>
      <c r="P12" s="9"/>
      <c r="Q12" s="9"/>
      <c r="R12" s="9"/>
      <c r="S12" s="9"/>
      <c r="T12" s="9"/>
      <c r="U12" s="9"/>
      <c r="V12" s="9" t="s">
        <v>239</v>
      </c>
      <c r="W12" s="9" t="s">
        <v>278</v>
      </c>
      <c r="X12" s="9"/>
      <c r="Y12" s="9"/>
      <c r="Z12" s="9" t="s">
        <v>241</v>
      </c>
      <c r="AA12" s="9"/>
      <c r="AB12" s="9"/>
      <c r="AC12" s="9"/>
      <c r="AD12" s="9" t="s">
        <v>279</v>
      </c>
      <c r="AE12" s="9"/>
      <c r="AF12" s="9"/>
      <c r="AG12" s="10"/>
    </row>
    <row r="13" spans="1:33" ht="13.2" x14ac:dyDescent="0.25">
      <c r="A13" s="7" t="s">
        <v>24</v>
      </c>
      <c r="B13" s="5">
        <v>80</v>
      </c>
      <c r="C13" s="5">
        <v>100</v>
      </c>
      <c r="D13" s="5">
        <v>65</v>
      </c>
      <c r="E13" s="5">
        <v>90</v>
      </c>
      <c r="F13" s="5">
        <v>20</v>
      </c>
      <c r="G13" s="5">
        <v>20</v>
      </c>
      <c r="H13" s="5"/>
      <c r="I13" s="5"/>
      <c r="J13" s="5">
        <v>85</v>
      </c>
      <c r="K13" s="5">
        <v>105</v>
      </c>
      <c r="L13" s="5">
        <v>15</v>
      </c>
      <c r="M13" s="5">
        <v>90</v>
      </c>
      <c r="N13" s="5">
        <v>155</v>
      </c>
      <c r="O13" s="5">
        <v>675</v>
      </c>
      <c r="P13" s="5">
        <v>27</v>
      </c>
      <c r="Q13" s="5">
        <v>60</v>
      </c>
      <c r="R13" s="5">
        <v>140</v>
      </c>
      <c r="S13" s="5">
        <v>120</v>
      </c>
      <c r="T13" s="5">
        <v>70</v>
      </c>
      <c r="U13" s="5">
        <v>90</v>
      </c>
      <c r="V13" s="5">
        <v>80</v>
      </c>
      <c r="W13" s="5">
        <v>80</v>
      </c>
      <c r="X13" s="5">
        <v>135</v>
      </c>
      <c r="Y13" s="5">
        <v>50</v>
      </c>
      <c r="Z13" s="5">
        <v>10</v>
      </c>
      <c r="AA13" s="5">
        <v>50</v>
      </c>
      <c r="AB13" s="5">
        <v>20</v>
      </c>
      <c r="AC13" s="5"/>
      <c r="AD13" s="5">
        <v>5</v>
      </c>
      <c r="AE13" s="5">
        <v>55</v>
      </c>
      <c r="AF13" s="5"/>
      <c r="AG13" s="6">
        <f>SUM(B13:AF13)</f>
        <v>2492</v>
      </c>
    </row>
    <row r="14" spans="1:33" ht="44.25" customHeight="1" x14ac:dyDescent="0.25">
      <c r="A14" s="8" t="s">
        <v>5</v>
      </c>
      <c r="B14" s="9" t="s">
        <v>280</v>
      </c>
      <c r="C14" s="9" t="s">
        <v>281</v>
      </c>
      <c r="D14" s="9" t="s">
        <v>282</v>
      </c>
      <c r="E14" s="9" t="s">
        <v>283</v>
      </c>
      <c r="F14" s="9" t="s">
        <v>284</v>
      </c>
      <c r="G14" s="9" t="s">
        <v>285</v>
      </c>
      <c r="H14" s="9"/>
      <c r="I14" s="9"/>
      <c r="J14" s="9" t="s">
        <v>286</v>
      </c>
      <c r="K14" s="9" t="s">
        <v>287</v>
      </c>
      <c r="L14" s="9" t="s">
        <v>288</v>
      </c>
      <c r="M14" s="9" t="s">
        <v>289</v>
      </c>
      <c r="N14" s="9" t="s">
        <v>290</v>
      </c>
      <c r="O14" s="9" t="s">
        <v>291</v>
      </c>
      <c r="P14" s="9" t="s">
        <v>292</v>
      </c>
      <c r="Q14" s="9" t="s">
        <v>293</v>
      </c>
      <c r="R14" s="9" t="s">
        <v>294</v>
      </c>
      <c r="S14" s="9" t="s">
        <v>295</v>
      </c>
      <c r="T14" s="9" t="s">
        <v>296</v>
      </c>
      <c r="U14" s="9" t="s">
        <v>297</v>
      </c>
      <c r="V14" s="9" t="s">
        <v>298</v>
      </c>
      <c r="W14" s="9" t="s">
        <v>299</v>
      </c>
      <c r="X14" s="9" t="s">
        <v>300</v>
      </c>
      <c r="Y14" s="9" t="s">
        <v>301</v>
      </c>
      <c r="Z14" s="9" t="s">
        <v>302</v>
      </c>
      <c r="AA14" s="9" t="s">
        <v>159</v>
      </c>
      <c r="AB14" s="9" t="s">
        <v>285</v>
      </c>
      <c r="AC14" s="9"/>
      <c r="AD14" s="9" t="s">
        <v>303</v>
      </c>
      <c r="AE14" s="9" t="s">
        <v>304</v>
      </c>
      <c r="AF14" s="9"/>
      <c r="AG14" s="10"/>
    </row>
    <row r="15" spans="1:33" ht="13.2" x14ac:dyDescent="0.25">
      <c r="A15" s="7" t="s">
        <v>44</v>
      </c>
      <c r="B15" s="5">
        <v>40</v>
      </c>
      <c r="C15" s="5">
        <v>40</v>
      </c>
      <c r="D15" s="5"/>
      <c r="E15" s="5"/>
      <c r="F15" s="5"/>
      <c r="G15" s="5"/>
      <c r="H15" s="5">
        <v>4</v>
      </c>
      <c r="I15" s="5"/>
      <c r="J15" s="5"/>
      <c r="K15" s="5">
        <v>20</v>
      </c>
      <c r="L15" s="5"/>
      <c r="M15" s="5">
        <v>20</v>
      </c>
      <c r="N15" s="5"/>
      <c r="O15" s="5"/>
      <c r="P15" s="5"/>
      <c r="Q15" s="5"/>
      <c r="R15" s="5"/>
      <c r="S15" s="5"/>
      <c r="T15" s="5"/>
      <c r="U15" s="5">
        <v>20</v>
      </c>
      <c r="V15" s="5"/>
      <c r="W15" s="5">
        <v>10</v>
      </c>
      <c r="X15" s="5">
        <v>30</v>
      </c>
      <c r="Y15" s="5"/>
      <c r="Z15" s="5"/>
      <c r="AA15" s="5"/>
      <c r="AB15" s="5"/>
      <c r="AC15" s="5"/>
      <c r="AD15" s="5">
        <v>20</v>
      </c>
      <c r="AE15" s="5"/>
      <c r="AF15" s="5"/>
      <c r="AG15" s="6">
        <f>SUM(B15:AF15)</f>
        <v>204</v>
      </c>
    </row>
    <row r="16" spans="1:33" ht="26.4" x14ac:dyDescent="0.25">
      <c r="A16" s="8" t="s">
        <v>5</v>
      </c>
      <c r="B16" s="9" t="s">
        <v>185</v>
      </c>
      <c r="C16" s="9" t="s">
        <v>305</v>
      </c>
      <c r="D16" s="9"/>
      <c r="E16" s="9"/>
      <c r="F16" s="9"/>
      <c r="G16" s="9"/>
      <c r="H16" s="9" t="s">
        <v>306</v>
      </c>
      <c r="I16" s="9"/>
      <c r="J16" s="9"/>
      <c r="K16" s="9" t="s">
        <v>307</v>
      </c>
      <c r="L16" s="9"/>
      <c r="M16" s="9" t="s">
        <v>308</v>
      </c>
      <c r="N16" s="9"/>
      <c r="O16" s="9"/>
      <c r="P16" s="9"/>
      <c r="Q16" s="9"/>
      <c r="R16" s="9"/>
      <c r="S16" s="9"/>
      <c r="T16" s="9"/>
      <c r="U16" s="9" t="s">
        <v>309</v>
      </c>
      <c r="V16" s="9"/>
      <c r="W16" s="9" t="s">
        <v>310</v>
      </c>
      <c r="X16" s="9" t="s">
        <v>310</v>
      </c>
      <c r="Y16" s="9"/>
      <c r="Z16" s="9"/>
      <c r="AA16" s="9"/>
      <c r="AB16" s="9"/>
      <c r="AC16" s="9"/>
      <c r="AD16" s="9" t="s">
        <v>311</v>
      </c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f>SUM(B17:AF17)</f>
        <v>0</v>
      </c>
    </row>
    <row r="18" spans="1:33" ht="13.2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50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20</v>
      </c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20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 t="s">
        <v>312</v>
      </c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>
        <v>33</v>
      </c>
      <c r="C23" s="5"/>
      <c r="D23" s="5"/>
      <c r="E23" s="5"/>
      <c r="F23" s="5"/>
      <c r="G23" s="5"/>
      <c r="H23" s="5">
        <v>10</v>
      </c>
      <c r="I23" s="5"/>
      <c r="J23" s="5"/>
      <c r="K23" s="5"/>
      <c r="L23" s="5"/>
      <c r="M23" s="5">
        <v>25</v>
      </c>
      <c r="N23" s="5"/>
      <c r="O23" s="5"/>
      <c r="P23" s="5"/>
      <c r="Q23" s="5"/>
      <c r="R23" s="5">
        <v>50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118</v>
      </c>
    </row>
    <row r="24" spans="1:33" ht="13.2" x14ac:dyDescent="0.25">
      <c r="A24" s="8" t="s">
        <v>5</v>
      </c>
      <c r="B24" s="9" t="s">
        <v>313</v>
      </c>
      <c r="C24" s="9"/>
      <c r="D24" s="9"/>
      <c r="E24" s="9"/>
      <c r="F24" s="9"/>
      <c r="G24" s="9"/>
      <c r="H24" s="9" t="s">
        <v>175</v>
      </c>
      <c r="I24" s="9"/>
      <c r="J24" s="9"/>
      <c r="K24" s="9"/>
      <c r="L24" s="9"/>
      <c r="M24" s="9" t="s">
        <v>175</v>
      </c>
      <c r="N24" s="9"/>
      <c r="O24" s="9"/>
      <c r="P24" s="9"/>
      <c r="Q24" s="9"/>
      <c r="R24" s="9" t="s">
        <v>175</v>
      </c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1:33" ht="13.2" x14ac:dyDescent="0.25">
      <c r="A26" s="12" t="s">
        <v>57</v>
      </c>
      <c r="B26" s="13">
        <f t="shared" ref="B26:AG26" si="0">SUM(B5+B7+B9+B11+B13+B15+B17+B19+B21+B23)</f>
        <v>235</v>
      </c>
      <c r="C26" s="13">
        <f t="shared" si="0"/>
        <v>390</v>
      </c>
      <c r="D26" s="13">
        <f t="shared" si="0"/>
        <v>130</v>
      </c>
      <c r="E26" s="13">
        <f t="shared" si="0"/>
        <v>240</v>
      </c>
      <c r="F26" s="13">
        <f t="shared" si="0"/>
        <v>20</v>
      </c>
      <c r="G26" s="13">
        <f t="shared" si="0"/>
        <v>100</v>
      </c>
      <c r="H26" s="13">
        <f t="shared" si="0"/>
        <v>14</v>
      </c>
      <c r="I26" s="13">
        <f t="shared" si="0"/>
        <v>0</v>
      </c>
      <c r="J26" s="13">
        <f t="shared" si="0"/>
        <v>378</v>
      </c>
      <c r="K26" s="13">
        <f t="shared" si="0"/>
        <v>125</v>
      </c>
      <c r="L26" s="13">
        <f t="shared" si="0"/>
        <v>215</v>
      </c>
      <c r="M26" s="13">
        <f t="shared" si="0"/>
        <v>135</v>
      </c>
      <c r="N26" s="13">
        <f t="shared" si="0"/>
        <v>155</v>
      </c>
      <c r="O26" s="13">
        <f t="shared" si="0"/>
        <v>835</v>
      </c>
      <c r="P26" s="13">
        <f t="shared" si="0"/>
        <v>27</v>
      </c>
      <c r="Q26" s="13">
        <f t="shared" si="0"/>
        <v>260</v>
      </c>
      <c r="R26" s="13">
        <f t="shared" si="0"/>
        <v>190</v>
      </c>
      <c r="S26" s="14">
        <f t="shared" si="0"/>
        <v>320</v>
      </c>
      <c r="T26" s="13">
        <f t="shared" si="0"/>
        <v>70</v>
      </c>
      <c r="U26" s="13">
        <f t="shared" si="0"/>
        <v>110</v>
      </c>
      <c r="V26" s="13">
        <f t="shared" si="0"/>
        <v>1638</v>
      </c>
      <c r="W26" s="13">
        <f t="shared" si="0"/>
        <v>154</v>
      </c>
      <c r="X26" s="13">
        <f t="shared" si="0"/>
        <v>365</v>
      </c>
      <c r="Y26" s="13">
        <f t="shared" si="0"/>
        <v>50</v>
      </c>
      <c r="Z26" s="13">
        <f t="shared" si="0"/>
        <v>25</v>
      </c>
      <c r="AA26" s="13">
        <f t="shared" si="0"/>
        <v>250</v>
      </c>
      <c r="AB26" s="13">
        <f>SUM(AB5+AB7+AB9+AB11+AB13+AB15+AB17+AB19+AB21+AB23)</f>
        <v>20</v>
      </c>
      <c r="AC26" s="13">
        <f t="shared" si="0"/>
        <v>100</v>
      </c>
      <c r="AD26" s="13">
        <f t="shared" si="0"/>
        <v>140</v>
      </c>
      <c r="AE26" s="13">
        <f>SUM(AE5+AE7+AE9+AE11+AE13+AE15+AE17+AE19+AE21+AE23)</f>
        <v>255</v>
      </c>
      <c r="AF26" s="13">
        <f t="shared" si="0"/>
        <v>0</v>
      </c>
      <c r="AG26" s="15">
        <f t="shared" si="0"/>
        <v>6946</v>
      </c>
    </row>
  </sheetData>
  <mergeCells count="2">
    <mergeCell ref="A1:A2"/>
    <mergeCell ref="B1:AG2"/>
  </mergeCell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CE3E-1E07-460D-9669-60588640D4E3}">
  <sheetPr>
    <outlinePr summaryBelow="0" summaryRight="0"/>
  </sheetPr>
  <dimension ref="A1:AG26"/>
  <sheetViews>
    <sheetView showGridLines="0" workbookViewId="0">
      <pane xSplit="1" ySplit="3" topLeftCell="E16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ColWidth="12.5546875" defaultRowHeight="15.75" customHeight="1" x14ac:dyDescent="0.25"/>
  <cols>
    <col min="1" max="1" width="27.6640625" customWidth="1"/>
    <col min="2" max="2" width="9.33203125" customWidth="1"/>
    <col min="3" max="3" width="11.88671875" customWidth="1"/>
    <col min="4" max="4" width="11.33203125" customWidth="1"/>
    <col min="5" max="5" width="8.33203125" customWidth="1"/>
    <col min="6" max="6" width="13.109375" customWidth="1"/>
    <col min="7" max="7" width="9.332031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7.5546875" customWidth="1"/>
    <col min="20" max="25" width="9.33203125" customWidth="1"/>
    <col min="26" max="26" width="10.44140625" customWidth="1"/>
    <col min="27" max="30" width="9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>
        <v>10</v>
      </c>
      <c r="C5" s="5"/>
      <c r="D5" s="5"/>
      <c r="E5" s="5"/>
      <c r="F5" s="5"/>
      <c r="G5" s="5"/>
      <c r="H5" s="5"/>
      <c r="I5" s="5">
        <v>370</v>
      </c>
      <c r="J5" s="5"/>
      <c r="K5" s="5"/>
      <c r="L5" s="5"/>
      <c r="M5" s="5"/>
      <c r="N5" s="5"/>
      <c r="O5" s="5"/>
      <c r="P5" s="5"/>
      <c r="Q5" s="5"/>
      <c r="R5" s="5"/>
      <c r="S5" s="5"/>
      <c r="T5" s="5">
        <v>30</v>
      </c>
      <c r="U5" s="5"/>
      <c r="V5" s="5"/>
      <c r="W5" s="5"/>
      <c r="X5" s="5"/>
      <c r="Y5" s="5">
        <v>1200</v>
      </c>
      <c r="Z5" s="5"/>
      <c r="AA5" s="5"/>
      <c r="AB5" s="5"/>
      <c r="AC5" s="5"/>
      <c r="AD5" s="5">
        <v>11</v>
      </c>
      <c r="AE5" s="5"/>
      <c r="AF5" s="5"/>
      <c r="AG5" s="6">
        <f>SUM(B5:AF5)</f>
        <v>1621</v>
      </c>
    </row>
    <row r="6" spans="1:33" ht="26.4" x14ac:dyDescent="0.25">
      <c r="A6" s="8" t="s">
        <v>5</v>
      </c>
      <c r="B6" s="9" t="s">
        <v>314</v>
      </c>
      <c r="C6" s="9"/>
      <c r="D6" s="9"/>
      <c r="E6" s="9"/>
      <c r="F6" s="9"/>
      <c r="G6" s="9"/>
      <c r="H6" s="9"/>
      <c r="I6" s="9" t="s">
        <v>180</v>
      </c>
      <c r="J6" s="9"/>
      <c r="K6" s="9"/>
      <c r="L6" s="9"/>
      <c r="M6" s="9"/>
      <c r="N6" s="9"/>
      <c r="O6" s="9"/>
      <c r="P6" s="9"/>
      <c r="Q6" s="9"/>
      <c r="R6" s="9"/>
      <c r="S6" s="9"/>
      <c r="T6" s="9" t="s">
        <v>315</v>
      </c>
      <c r="U6" s="9"/>
      <c r="V6" s="9"/>
      <c r="W6" s="9"/>
      <c r="X6" s="9"/>
      <c r="Y6" s="9" t="s">
        <v>316</v>
      </c>
      <c r="Z6" s="9"/>
      <c r="AA6" s="9"/>
      <c r="AB6" s="9"/>
      <c r="AC6" s="9"/>
      <c r="AD6" s="9" t="s">
        <v>317</v>
      </c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>
        <v>230</v>
      </c>
      <c r="H7" s="5"/>
      <c r="I7" s="5"/>
      <c r="J7" s="5"/>
      <c r="K7" s="5"/>
      <c r="L7" s="5">
        <v>1817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0</v>
      </c>
      <c r="AA7" s="5"/>
      <c r="AB7" s="5"/>
      <c r="AC7" s="5"/>
      <c r="AD7" s="5"/>
      <c r="AE7" s="5"/>
      <c r="AF7" s="5"/>
      <c r="AG7" s="6">
        <f>SUM(B7:AF7)</f>
        <v>2047</v>
      </c>
    </row>
    <row r="8" spans="1:33" ht="39.6" x14ac:dyDescent="0.25">
      <c r="A8" s="8" t="s">
        <v>5</v>
      </c>
      <c r="B8" s="9"/>
      <c r="C8" s="9"/>
      <c r="D8" s="9"/>
      <c r="E8" s="9"/>
      <c r="F8" s="9"/>
      <c r="G8" s="9" t="s">
        <v>318</v>
      </c>
      <c r="H8" s="9"/>
      <c r="I8" s="9"/>
      <c r="J8" s="9"/>
      <c r="K8" s="9"/>
      <c r="L8" s="9" t="s">
        <v>319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/>
      <c r="D9" s="5">
        <v>200</v>
      </c>
      <c r="E9" s="5"/>
      <c r="F9" s="5"/>
      <c r="G9" s="5"/>
      <c r="H9" s="5">
        <v>200</v>
      </c>
      <c r="I9" s="5"/>
      <c r="J9" s="5">
        <v>200</v>
      </c>
      <c r="K9" s="5">
        <v>150</v>
      </c>
      <c r="L9" s="5">
        <v>250</v>
      </c>
      <c r="M9" s="5"/>
      <c r="N9" s="5"/>
      <c r="O9" s="5"/>
      <c r="P9" s="5">
        <v>470</v>
      </c>
      <c r="Q9" s="5">
        <v>200</v>
      </c>
      <c r="R9" s="5"/>
      <c r="S9" s="5">
        <v>100</v>
      </c>
      <c r="T9" s="5"/>
      <c r="U9" s="5">
        <v>200</v>
      </c>
      <c r="V9" s="5"/>
      <c r="W9" s="5"/>
      <c r="X9" s="5">
        <v>200</v>
      </c>
      <c r="Y9" s="5"/>
      <c r="Z9" s="5">
        <v>400</v>
      </c>
      <c r="AA9" s="5"/>
      <c r="AB9" s="5"/>
      <c r="AC9" s="5"/>
      <c r="AD9" s="5">
        <v>100</v>
      </c>
      <c r="AE9" s="5">
        <v>120</v>
      </c>
      <c r="AF9" s="5"/>
      <c r="AG9" s="6">
        <f>SUM(B9:AF9)</f>
        <v>2790</v>
      </c>
    </row>
    <row r="10" spans="1:33" ht="33.75" customHeight="1" x14ac:dyDescent="0.25">
      <c r="A10" s="8" t="s">
        <v>5</v>
      </c>
      <c r="B10" s="9"/>
      <c r="C10" s="9"/>
      <c r="D10" s="9" t="s">
        <v>18</v>
      </c>
      <c r="E10" s="9"/>
      <c r="F10" s="9"/>
      <c r="G10" s="9"/>
      <c r="H10" s="9" t="s">
        <v>18</v>
      </c>
      <c r="I10" s="9"/>
      <c r="J10" s="9" t="s">
        <v>18</v>
      </c>
      <c r="K10" s="9" t="s">
        <v>18</v>
      </c>
      <c r="L10" s="9" t="s">
        <v>320</v>
      </c>
      <c r="M10" s="9"/>
      <c r="N10" s="9"/>
      <c r="O10" s="9"/>
      <c r="P10" s="9" t="s">
        <v>321</v>
      </c>
      <c r="Q10" s="9" t="s">
        <v>18</v>
      </c>
      <c r="R10" s="9"/>
      <c r="S10" s="9" t="s">
        <v>18</v>
      </c>
      <c r="T10" s="9"/>
      <c r="U10" s="9" t="s">
        <v>18</v>
      </c>
      <c r="V10" s="9"/>
      <c r="W10" s="9"/>
      <c r="X10" s="9" t="s">
        <v>17</v>
      </c>
      <c r="Y10" s="9"/>
      <c r="Z10" s="9" t="s">
        <v>322</v>
      </c>
      <c r="AA10" s="9"/>
      <c r="AB10" s="9"/>
      <c r="AC10" s="9"/>
      <c r="AD10" s="9" t="s">
        <v>17</v>
      </c>
      <c r="AE10" s="9" t="s">
        <v>17</v>
      </c>
      <c r="AF10" s="9"/>
      <c r="AG10" s="10"/>
    </row>
    <row r="11" spans="1:33" ht="13.2" x14ac:dyDescent="0.25">
      <c r="A11" s="7" t="s">
        <v>21</v>
      </c>
      <c r="B11" s="5"/>
      <c r="C11" s="5">
        <v>33</v>
      </c>
      <c r="D11" s="5"/>
      <c r="E11" s="5"/>
      <c r="F11" s="5">
        <v>82</v>
      </c>
      <c r="G11" s="5"/>
      <c r="H11" s="5"/>
      <c r="I11" s="5"/>
      <c r="J11" s="5">
        <v>40</v>
      </c>
      <c r="K11" s="5"/>
      <c r="L11" s="5"/>
      <c r="M11" s="5"/>
      <c r="N11" s="5">
        <v>100</v>
      </c>
      <c r="O11" s="5">
        <v>285</v>
      </c>
      <c r="P11" s="5"/>
      <c r="Q11" s="5"/>
      <c r="R11" s="5"/>
      <c r="S11" s="5"/>
      <c r="T11" s="5">
        <v>23</v>
      </c>
      <c r="U11" s="5"/>
      <c r="V11" s="5"/>
      <c r="W11" s="5"/>
      <c r="X11" s="5"/>
      <c r="Y11" s="5">
        <v>10</v>
      </c>
      <c r="Z11" s="5"/>
      <c r="AA11" s="5"/>
      <c r="AB11" s="5">
        <v>15</v>
      </c>
      <c r="AC11" s="5">
        <v>130</v>
      </c>
      <c r="AD11" s="5"/>
      <c r="AE11" s="5"/>
      <c r="AF11" s="5"/>
      <c r="AG11" s="6">
        <f>SUM(B11:AF11)</f>
        <v>718</v>
      </c>
    </row>
    <row r="12" spans="1:33" ht="42" customHeight="1" x14ac:dyDescent="0.25">
      <c r="A12" s="8" t="s">
        <v>5</v>
      </c>
      <c r="B12" s="9"/>
      <c r="C12" s="9" t="s">
        <v>323</v>
      </c>
      <c r="D12" s="9"/>
      <c r="E12" s="9"/>
      <c r="F12" s="9" t="s">
        <v>324</v>
      </c>
      <c r="G12" s="9"/>
      <c r="H12" s="9"/>
      <c r="I12" s="9"/>
      <c r="J12" s="9" t="s">
        <v>325</v>
      </c>
      <c r="K12" s="9"/>
      <c r="L12" s="9"/>
      <c r="M12" s="9"/>
      <c r="N12" s="9" t="s">
        <v>326</v>
      </c>
      <c r="O12" s="9" t="s">
        <v>327</v>
      </c>
      <c r="P12" s="9"/>
      <c r="Q12" s="9"/>
      <c r="R12" s="9"/>
      <c r="S12" s="9"/>
      <c r="T12" s="9" t="s">
        <v>328</v>
      </c>
      <c r="U12" s="9"/>
      <c r="V12" s="9"/>
      <c r="W12" s="9"/>
      <c r="X12" s="9"/>
      <c r="Y12" s="9" t="s">
        <v>329</v>
      </c>
      <c r="Z12" s="9"/>
      <c r="AA12" s="9"/>
      <c r="AB12" s="9" t="s">
        <v>330</v>
      </c>
      <c r="AC12" s="9" t="s">
        <v>331</v>
      </c>
      <c r="AD12" s="9"/>
      <c r="AE12" s="9"/>
      <c r="AF12" s="9"/>
      <c r="AG12" s="10"/>
    </row>
    <row r="13" spans="1:33" ht="13.2" x14ac:dyDescent="0.25">
      <c r="A13" s="7" t="s">
        <v>24</v>
      </c>
      <c r="B13" s="5">
        <v>90</v>
      </c>
      <c r="C13" s="5"/>
      <c r="D13" s="5">
        <v>102</v>
      </c>
      <c r="E13" s="5">
        <v>90</v>
      </c>
      <c r="F13" s="5">
        <v>45</v>
      </c>
      <c r="G13" s="5">
        <v>50</v>
      </c>
      <c r="H13" s="5">
        <v>135</v>
      </c>
      <c r="I13" s="5">
        <v>110</v>
      </c>
      <c r="J13" s="5">
        <v>401</v>
      </c>
      <c r="K13" s="5">
        <v>40</v>
      </c>
      <c r="L13" s="5">
        <v>170</v>
      </c>
      <c r="M13" s="5">
        <v>210</v>
      </c>
      <c r="N13" s="5">
        <v>70</v>
      </c>
      <c r="O13" s="5">
        <v>20</v>
      </c>
      <c r="P13" s="5">
        <v>120</v>
      </c>
      <c r="Q13" s="5"/>
      <c r="R13" s="5">
        <v>70</v>
      </c>
      <c r="S13" s="5">
        <v>560</v>
      </c>
      <c r="T13" s="5"/>
      <c r="U13" s="5">
        <v>70</v>
      </c>
      <c r="V13" s="5">
        <v>100</v>
      </c>
      <c r="W13" s="5">
        <v>200</v>
      </c>
      <c r="X13" s="5">
        <v>80</v>
      </c>
      <c r="Y13" s="5">
        <v>60</v>
      </c>
      <c r="Z13" s="5">
        <v>90</v>
      </c>
      <c r="AA13" s="5">
        <v>35</v>
      </c>
      <c r="AB13" s="5">
        <v>20</v>
      </c>
      <c r="AC13" s="5"/>
      <c r="AD13" s="5"/>
      <c r="AE13" s="5"/>
      <c r="AF13" s="5"/>
      <c r="AG13" s="6">
        <f>SUM(B13:AF13)</f>
        <v>2938</v>
      </c>
    </row>
    <row r="14" spans="1:33" ht="58.5" customHeight="1" x14ac:dyDescent="0.25">
      <c r="A14" s="8" t="s">
        <v>5</v>
      </c>
      <c r="B14" s="9" t="s">
        <v>332</v>
      </c>
      <c r="C14" s="9"/>
      <c r="D14" s="9" t="s">
        <v>333</v>
      </c>
      <c r="E14" s="9" t="s">
        <v>334</v>
      </c>
      <c r="F14" s="9" t="s">
        <v>52</v>
      </c>
      <c r="G14" s="9" t="s">
        <v>39</v>
      </c>
      <c r="H14" s="9" t="s">
        <v>335</v>
      </c>
      <c r="I14" s="9" t="s">
        <v>336</v>
      </c>
      <c r="J14" s="9" t="s">
        <v>337</v>
      </c>
      <c r="K14" s="9" t="s">
        <v>338</v>
      </c>
      <c r="L14" s="9" t="s">
        <v>339</v>
      </c>
      <c r="M14" s="9" t="s">
        <v>340</v>
      </c>
      <c r="N14" s="9" t="s">
        <v>341</v>
      </c>
      <c r="O14" s="9" t="s">
        <v>255</v>
      </c>
      <c r="P14" s="9" t="s">
        <v>342</v>
      </c>
      <c r="Q14" s="9"/>
      <c r="R14" s="9" t="s">
        <v>343</v>
      </c>
      <c r="S14" s="9" t="s">
        <v>344</v>
      </c>
      <c r="T14" s="9"/>
      <c r="U14" s="9" t="s">
        <v>345</v>
      </c>
      <c r="V14" s="9" t="s">
        <v>346</v>
      </c>
      <c r="W14" s="9" t="s">
        <v>347</v>
      </c>
      <c r="X14" s="9" t="s">
        <v>348</v>
      </c>
      <c r="Y14" s="9" t="s">
        <v>293</v>
      </c>
      <c r="Z14" s="9" t="s">
        <v>349</v>
      </c>
      <c r="AA14" s="9" t="s">
        <v>350</v>
      </c>
      <c r="AB14" s="9" t="s">
        <v>351</v>
      </c>
      <c r="AC14" s="9"/>
      <c r="AD14" s="9"/>
      <c r="AE14" s="9"/>
      <c r="AF14" s="9"/>
      <c r="AG14" s="10"/>
    </row>
    <row r="15" spans="1:33" ht="13.2" x14ac:dyDescent="0.25">
      <c r="A15" s="7" t="s">
        <v>44</v>
      </c>
      <c r="B15" s="5">
        <v>30</v>
      </c>
      <c r="C15" s="5"/>
      <c r="D15" s="5"/>
      <c r="E15" s="5"/>
      <c r="F15" s="5"/>
      <c r="G15" s="5">
        <v>4</v>
      </c>
      <c r="H15" s="5">
        <v>2000</v>
      </c>
      <c r="I15" s="5"/>
      <c r="J15" s="5">
        <v>810</v>
      </c>
      <c r="K15" s="5"/>
      <c r="L15" s="5"/>
      <c r="M15" s="5">
        <v>300</v>
      </c>
      <c r="N15" s="5"/>
      <c r="O15" s="5"/>
      <c r="P15" s="5"/>
      <c r="Q15" s="5"/>
      <c r="R15" s="5">
        <v>2000</v>
      </c>
      <c r="S15" s="5"/>
      <c r="T15" s="5">
        <v>980</v>
      </c>
      <c r="U15" s="5">
        <v>1843</v>
      </c>
      <c r="V15" s="5"/>
      <c r="W15" s="5"/>
      <c r="X15" s="5"/>
      <c r="Y15" s="5"/>
      <c r="Z15" s="5"/>
      <c r="AA15" s="5"/>
      <c r="AB15" s="5"/>
      <c r="AC15" s="5"/>
      <c r="AD15" s="5">
        <v>110</v>
      </c>
      <c r="AE15" s="5">
        <v>120</v>
      </c>
      <c r="AF15" s="5"/>
      <c r="AG15" s="6">
        <f>SUM(B15:AF15)</f>
        <v>8197</v>
      </c>
    </row>
    <row r="16" spans="1:33" ht="52.8" x14ac:dyDescent="0.25">
      <c r="A16" s="8" t="s">
        <v>5</v>
      </c>
      <c r="B16" s="9" t="s">
        <v>178</v>
      </c>
      <c r="C16" s="9"/>
      <c r="D16" s="9"/>
      <c r="E16" s="9"/>
      <c r="F16" s="9"/>
      <c r="G16" s="9" t="s">
        <v>58</v>
      </c>
      <c r="H16" s="9" t="s">
        <v>352</v>
      </c>
      <c r="I16" s="9"/>
      <c r="J16" s="9" t="s">
        <v>353</v>
      </c>
      <c r="K16" s="9"/>
      <c r="L16" s="9"/>
      <c r="M16" s="9" t="s">
        <v>354</v>
      </c>
      <c r="N16" s="9"/>
      <c r="O16" s="9"/>
      <c r="P16" s="9"/>
      <c r="Q16" s="9"/>
      <c r="R16" s="9" t="s">
        <v>355</v>
      </c>
      <c r="S16" s="9"/>
      <c r="T16" s="9" t="s">
        <v>356</v>
      </c>
      <c r="U16" s="9" t="s">
        <v>357</v>
      </c>
      <c r="V16" s="9"/>
      <c r="W16" s="9"/>
      <c r="X16" s="9"/>
      <c r="Y16" s="9"/>
      <c r="Z16" s="9"/>
      <c r="AA16" s="9"/>
      <c r="AB16" s="9"/>
      <c r="AC16" s="9"/>
      <c r="AD16" s="9" t="s">
        <v>358</v>
      </c>
      <c r="AE16" s="9" t="s">
        <v>359</v>
      </c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210</v>
      </c>
      <c r="T17" s="5">
        <v>3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f>SUM(B17:AF17)</f>
        <v>213</v>
      </c>
    </row>
    <row r="18" spans="1:33" ht="26.4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">
        <v>360</v>
      </c>
      <c r="T18" s="9" t="s">
        <v>58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80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80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 t="s">
        <v>361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>
        <v>29250</v>
      </c>
      <c r="I21" s="5"/>
      <c r="J21" s="5"/>
      <c r="K21" s="5"/>
      <c r="L21" s="5"/>
      <c r="M21" s="5"/>
      <c r="N21" s="5"/>
      <c r="O21" s="5"/>
      <c r="P21" s="5"/>
      <c r="Q21" s="5"/>
      <c r="R21" s="5">
        <v>2000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31250</v>
      </c>
    </row>
    <row r="22" spans="1:33" ht="26.4" x14ac:dyDescent="0.25">
      <c r="A22" s="8" t="s">
        <v>5</v>
      </c>
      <c r="B22" s="9"/>
      <c r="C22" s="9"/>
      <c r="D22" s="9"/>
      <c r="E22" s="9"/>
      <c r="F22" s="9"/>
      <c r="G22" s="9"/>
      <c r="H22" s="9" t="s">
        <v>363</v>
      </c>
      <c r="I22" s="9"/>
      <c r="J22" s="9"/>
      <c r="K22" s="9"/>
      <c r="L22" s="9"/>
      <c r="M22" s="9"/>
      <c r="N22" s="9"/>
      <c r="O22" s="9"/>
      <c r="P22" s="9"/>
      <c r="Q22" s="9"/>
      <c r="R22" s="9" t="s">
        <v>364</v>
      </c>
      <c r="S22" s="9" t="s">
        <v>365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>
        <v>20</v>
      </c>
      <c r="F23" s="5"/>
      <c r="G23" s="5"/>
      <c r="H23" s="5"/>
      <c r="I23" s="5"/>
      <c r="J23" s="5"/>
      <c r="K23" s="5"/>
      <c r="L23" s="5"/>
      <c r="M23" s="5"/>
      <c r="N23" s="5">
        <v>55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80</v>
      </c>
      <c r="AC23" s="5"/>
      <c r="AD23" s="5"/>
      <c r="AE23" s="5"/>
      <c r="AF23" s="5"/>
      <c r="AG23" s="6">
        <f>SUM(B23:AF23)</f>
        <v>155</v>
      </c>
    </row>
    <row r="24" spans="1:33" ht="13.2" x14ac:dyDescent="0.25">
      <c r="A24" s="8" t="s">
        <v>5</v>
      </c>
      <c r="B24" s="9"/>
      <c r="C24" s="9"/>
      <c r="D24" s="9"/>
      <c r="E24" s="9" t="s">
        <v>175</v>
      </c>
      <c r="F24" s="9"/>
      <c r="G24" s="9"/>
      <c r="H24" s="9"/>
      <c r="I24" s="9"/>
      <c r="J24" s="9"/>
      <c r="K24" s="9"/>
      <c r="L24" s="9"/>
      <c r="M24" s="9"/>
      <c r="N24" s="9" t="s">
        <v>175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 t="s">
        <v>366</v>
      </c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1:33" ht="13.2" x14ac:dyDescent="0.25">
      <c r="A26" s="12" t="s">
        <v>57</v>
      </c>
      <c r="B26" s="13">
        <f t="shared" ref="B26:AG26" si="0">SUM(B5+B7+B9+B11+B13+B15+B17+B19+B21+B23)</f>
        <v>130</v>
      </c>
      <c r="C26" s="13">
        <f t="shared" si="0"/>
        <v>33</v>
      </c>
      <c r="D26" s="13">
        <f t="shared" si="0"/>
        <v>302</v>
      </c>
      <c r="E26" s="13">
        <f t="shared" si="0"/>
        <v>110</v>
      </c>
      <c r="F26" s="13">
        <f t="shared" si="0"/>
        <v>127</v>
      </c>
      <c r="G26" s="13">
        <f t="shared" si="0"/>
        <v>284</v>
      </c>
      <c r="H26" s="13">
        <f t="shared" si="0"/>
        <v>31585</v>
      </c>
      <c r="I26" s="13">
        <f t="shared" si="0"/>
        <v>480</v>
      </c>
      <c r="J26" s="13">
        <f t="shared" si="0"/>
        <v>1451</v>
      </c>
      <c r="K26" s="13">
        <f t="shared" si="0"/>
        <v>190</v>
      </c>
      <c r="L26" s="13">
        <f t="shared" si="0"/>
        <v>2237</v>
      </c>
      <c r="M26" s="13">
        <f t="shared" si="0"/>
        <v>510</v>
      </c>
      <c r="N26" s="13">
        <f t="shared" si="0"/>
        <v>225</v>
      </c>
      <c r="O26" s="13">
        <f t="shared" si="0"/>
        <v>305</v>
      </c>
      <c r="P26" s="13">
        <f t="shared" si="0"/>
        <v>590</v>
      </c>
      <c r="Q26" s="13">
        <f t="shared" si="0"/>
        <v>200</v>
      </c>
      <c r="R26" s="13">
        <f t="shared" si="0"/>
        <v>4070</v>
      </c>
      <c r="S26" s="14">
        <f t="shared" si="0"/>
        <v>950</v>
      </c>
      <c r="T26" s="13">
        <f t="shared" si="0"/>
        <v>1036</v>
      </c>
      <c r="U26" s="13">
        <f t="shared" si="0"/>
        <v>2113</v>
      </c>
      <c r="V26" s="13">
        <f t="shared" si="0"/>
        <v>100</v>
      </c>
      <c r="W26" s="13">
        <f t="shared" si="0"/>
        <v>200</v>
      </c>
      <c r="X26" s="13">
        <f t="shared" si="0"/>
        <v>280</v>
      </c>
      <c r="Y26" s="13">
        <f t="shared" si="0"/>
        <v>1270</v>
      </c>
      <c r="Z26" s="13">
        <f t="shared" si="0"/>
        <v>490</v>
      </c>
      <c r="AA26" s="13">
        <f t="shared" si="0"/>
        <v>35</v>
      </c>
      <c r="AB26" s="13">
        <f>SUM(AB5+AB7+AB9+AB11+AB13+AB15+AB17+AB19+AB21+AB23)</f>
        <v>115</v>
      </c>
      <c r="AC26" s="13">
        <f t="shared" si="0"/>
        <v>130</v>
      </c>
      <c r="AD26" s="13">
        <f t="shared" si="0"/>
        <v>221</v>
      </c>
      <c r="AE26" s="13">
        <f>SUM(AE5+AE7+AE9+AE11+AE13+AE15+AE17+AE19+AE21+AE23)</f>
        <v>240</v>
      </c>
      <c r="AF26" s="13">
        <f t="shared" si="0"/>
        <v>0</v>
      </c>
      <c r="AG26" s="15">
        <f t="shared" si="0"/>
        <v>50009</v>
      </c>
    </row>
  </sheetData>
  <mergeCells count="2">
    <mergeCell ref="A1:A2"/>
    <mergeCell ref="B1:AG2"/>
  </mergeCell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501E-ACC5-4241-ADFF-84E3892FE879}">
  <sheetPr>
    <outlinePr summaryBelow="0" summaryRight="0"/>
  </sheetPr>
  <dimension ref="A1:AG26"/>
  <sheetViews>
    <sheetView showGridLines="0" workbookViewId="0">
      <pane xSplit="1" ySplit="3" topLeftCell="V4" activePane="bottomRight" state="frozen"/>
      <selection pane="topRight" activeCell="F27" sqref="F27"/>
      <selection pane="bottomLeft" activeCell="F27" sqref="F27"/>
      <selection pane="bottomRight" activeCell="AG26" sqref="AG26"/>
    </sheetView>
  </sheetViews>
  <sheetFormatPr defaultColWidth="12.5546875" defaultRowHeight="15.75" customHeight="1" x14ac:dyDescent="0.25"/>
  <cols>
    <col min="1" max="1" width="27.6640625" customWidth="1"/>
    <col min="2" max="2" width="9.332031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7.554687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>
        <v>29</v>
      </c>
      <c r="E5" s="5"/>
      <c r="F5" s="5">
        <v>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v>579</v>
      </c>
      <c r="U5" s="5"/>
      <c r="V5" s="5"/>
      <c r="W5" s="5">
        <v>2</v>
      </c>
      <c r="X5" s="5"/>
      <c r="Y5" s="5"/>
      <c r="Z5" s="5"/>
      <c r="AA5" s="5">
        <v>49</v>
      </c>
      <c r="AB5" s="5"/>
      <c r="AC5" s="5"/>
      <c r="AD5" s="5">
        <v>49</v>
      </c>
      <c r="AE5" s="5">
        <v>49</v>
      </c>
      <c r="AF5" s="5"/>
      <c r="AG5" s="6">
        <f>SUM(B5:AF5)</f>
        <v>762</v>
      </c>
    </row>
    <row r="6" spans="1:33" ht="13.2" x14ac:dyDescent="0.25">
      <c r="A6" s="8" t="s">
        <v>5</v>
      </c>
      <c r="B6" s="9"/>
      <c r="C6" s="9"/>
      <c r="D6" s="9" t="s">
        <v>367</v>
      </c>
      <c r="E6" s="9"/>
      <c r="F6" s="9" t="s">
        <v>368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 t="s">
        <v>145</v>
      </c>
      <c r="U6" s="9"/>
      <c r="V6" s="9"/>
      <c r="W6" s="9" t="s">
        <v>369</v>
      </c>
      <c r="X6" s="9"/>
      <c r="Y6" s="9"/>
      <c r="Z6" s="9"/>
      <c r="AA6" s="9" t="s">
        <v>370</v>
      </c>
      <c r="AB6" s="9"/>
      <c r="AC6" s="9"/>
      <c r="AD6" s="9" t="s">
        <v>145</v>
      </c>
      <c r="AE6" s="9" t="s">
        <v>195</v>
      </c>
      <c r="AF6" s="9"/>
      <c r="AG6" s="10"/>
    </row>
    <row r="7" spans="1:33" ht="26.4" x14ac:dyDescent="0.25">
      <c r="A7" s="7" t="s">
        <v>15</v>
      </c>
      <c r="B7" s="5"/>
      <c r="C7" s="5">
        <v>30</v>
      </c>
      <c r="D7" s="5">
        <v>150</v>
      </c>
      <c r="E7" s="5"/>
      <c r="F7" s="5"/>
      <c r="G7" s="5"/>
      <c r="H7" s="5"/>
      <c r="I7" s="5">
        <v>200</v>
      </c>
      <c r="J7" s="5"/>
      <c r="K7" s="5"/>
      <c r="L7" s="5"/>
      <c r="M7" s="5"/>
      <c r="N7" s="5"/>
      <c r="O7" s="5"/>
      <c r="P7" s="5"/>
      <c r="Q7" s="5">
        <v>90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470</v>
      </c>
    </row>
    <row r="8" spans="1:33" ht="26.4" x14ac:dyDescent="0.25">
      <c r="A8" s="8" t="s">
        <v>5</v>
      </c>
      <c r="B8" s="9"/>
      <c r="C8" s="9" t="s">
        <v>371</v>
      </c>
      <c r="D8" s="9" t="s">
        <v>372</v>
      </c>
      <c r="E8" s="9"/>
      <c r="F8" s="9"/>
      <c r="G8" s="9"/>
      <c r="H8" s="9"/>
      <c r="I8" s="9" t="s">
        <v>373</v>
      </c>
      <c r="J8" s="9"/>
      <c r="K8" s="9"/>
      <c r="L8" s="9"/>
      <c r="M8" s="9"/>
      <c r="N8" s="9"/>
      <c r="O8" s="9"/>
      <c r="P8" s="9"/>
      <c r="Q8" s="9" t="s">
        <v>374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>
        <v>360</v>
      </c>
      <c r="D9" s="5"/>
      <c r="E9" s="5"/>
      <c r="F9" s="5">
        <v>100</v>
      </c>
      <c r="G9" s="5">
        <v>200</v>
      </c>
      <c r="H9" s="5"/>
      <c r="I9" s="5"/>
      <c r="J9" s="5">
        <v>400</v>
      </c>
      <c r="K9" s="5">
        <v>150</v>
      </c>
      <c r="L9" s="5">
        <v>200</v>
      </c>
      <c r="M9" s="5"/>
      <c r="N9" s="5">
        <v>100</v>
      </c>
      <c r="O9" s="5">
        <v>200</v>
      </c>
      <c r="P9" s="5"/>
      <c r="Q9" s="5"/>
      <c r="R9" s="5"/>
      <c r="S9" s="5">
        <v>200</v>
      </c>
      <c r="T9" s="5"/>
      <c r="U9" s="5"/>
      <c r="V9" s="5"/>
      <c r="W9" s="5">
        <v>200</v>
      </c>
      <c r="X9" s="5"/>
      <c r="Y9" s="5"/>
      <c r="Z9" s="5"/>
      <c r="AA9" s="5">
        <v>300</v>
      </c>
      <c r="AB9" s="5"/>
      <c r="AC9" s="5">
        <v>300</v>
      </c>
      <c r="AD9" s="5"/>
      <c r="AE9" s="5"/>
      <c r="AF9" s="5"/>
      <c r="AG9" s="6">
        <f>SUM(B9:AF9)</f>
        <v>2710</v>
      </c>
    </row>
    <row r="10" spans="1:33" ht="33.75" customHeight="1" x14ac:dyDescent="0.25">
      <c r="A10" s="8" t="s">
        <v>5</v>
      </c>
      <c r="B10" s="9"/>
      <c r="C10" s="9">
        <v>8</v>
      </c>
      <c r="D10" s="9"/>
      <c r="E10" s="9"/>
      <c r="F10" s="9" t="s">
        <v>17</v>
      </c>
      <c r="G10" s="9" t="s">
        <v>17</v>
      </c>
      <c r="H10" s="9"/>
      <c r="I10" s="9"/>
      <c r="J10" s="9" t="s">
        <v>375</v>
      </c>
      <c r="K10" s="9" t="s">
        <v>376</v>
      </c>
      <c r="L10" s="9" t="s">
        <v>17</v>
      </c>
      <c r="M10" s="9"/>
      <c r="N10" s="9" t="s">
        <v>17</v>
      </c>
      <c r="O10" s="9" t="s">
        <v>17</v>
      </c>
      <c r="P10" s="9"/>
      <c r="Q10" s="9"/>
      <c r="R10" s="9"/>
      <c r="S10" s="9" t="s">
        <v>18</v>
      </c>
      <c r="T10" s="9"/>
      <c r="U10" s="9"/>
      <c r="V10" s="9"/>
      <c r="W10" s="9" t="s">
        <v>18</v>
      </c>
      <c r="X10" s="9"/>
      <c r="Y10" s="9"/>
      <c r="Z10" s="9"/>
      <c r="AA10" s="9" t="s">
        <v>18</v>
      </c>
      <c r="AB10" s="9"/>
      <c r="AC10" s="9" t="s">
        <v>377</v>
      </c>
      <c r="AD10" s="9"/>
      <c r="AE10" s="9"/>
      <c r="AF10" s="9"/>
      <c r="AG10" s="10"/>
    </row>
    <row r="11" spans="1:33" ht="13.2" x14ac:dyDescent="0.25">
      <c r="A11" s="7" t="s">
        <v>21</v>
      </c>
      <c r="B11" s="5"/>
      <c r="C11" s="5"/>
      <c r="D11" s="5"/>
      <c r="E11" s="5"/>
      <c r="F11" s="5"/>
      <c r="G11" s="5"/>
      <c r="H11" s="5">
        <v>140</v>
      </c>
      <c r="I11" s="5">
        <v>150</v>
      </c>
      <c r="J11" s="5"/>
      <c r="K11" s="5"/>
      <c r="L11" s="5"/>
      <c r="M11" s="5">
        <v>75</v>
      </c>
      <c r="N11" s="5"/>
      <c r="O11" s="5"/>
      <c r="P11" s="5"/>
      <c r="Q11" s="5"/>
      <c r="R11" s="5">
        <v>20</v>
      </c>
      <c r="S11" s="5"/>
      <c r="T11" s="5"/>
      <c r="U11" s="5"/>
      <c r="V11" s="5">
        <v>23</v>
      </c>
      <c r="W11" s="5"/>
      <c r="X11" s="5"/>
      <c r="Y11" s="5"/>
      <c r="Z11" s="5">
        <v>25</v>
      </c>
      <c r="AA11" s="5"/>
      <c r="AB11" s="5"/>
      <c r="AC11" s="5" t="s">
        <v>378</v>
      </c>
      <c r="AD11" s="5">
        <v>120</v>
      </c>
      <c r="AE11" s="5">
        <v>210</v>
      </c>
      <c r="AF11" s="5"/>
      <c r="AG11" s="6">
        <f>SUM(B11:AF11)</f>
        <v>763</v>
      </c>
    </row>
    <row r="12" spans="1:33" ht="42" customHeight="1" x14ac:dyDescent="0.25">
      <c r="A12" s="8" t="s">
        <v>5</v>
      </c>
      <c r="B12" s="9"/>
      <c r="C12" s="9"/>
      <c r="D12" s="9"/>
      <c r="E12" s="9"/>
      <c r="F12" s="9"/>
      <c r="G12" s="9"/>
      <c r="H12" s="9" t="s">
        <v>379</v>
      </c>
      <c r="I12" s="9" t="s">
        <v>185</v>
      </c>
      <c r="J12" s="9"/>
      <c r="K12" s="9"/>
      <c r="L12" s="9"/>
      <c r="M12" s="9" t="s">
        <v>380</v>
      </c>
      <c r="N12" s="9"/>
      <c r="O12" s="9"/>
      <c r="P12" s="9"/>
      <c r="Q12" s="9"/>
      <c r="R12" s="9" t="s">
        <v>381</v>
      </c>
      <c r="S12" s="9"/>
      <c r="T12" s="9"/>
      <c r="U12" s="9"/>
      <c r="V12" s="9" t="s">
        <v>242</v>
      </c>
      <c r="W12" s="9"/>
      <c r="X12" s="9"/>
      <c r="Y12" s="9"/>
      <c r="Z12" s="9" t="s">
        <v>382</v>
      </c>
      <c r="AA12" s="9"/>
      <c r="AB12" s="9"/>
      <c r="AC12" s="9"/>
      <c r="AD12" s="9" t="s">
        <v>383</v>
      </c>
      <c r="AE12" s="9" t="s">
        <v>384</v>
      </c>
      <c r="AF12" s="9"/>
      <c r="AG12" s="10"/>
    </row>
    <row r="13" spans="1:33" ht="13.2" x14ac:dyDescent="0.25">
      <c r="A13" s="7" t="s">
        <v>24</v>
      </c>
      <c r="B13" s="5"/>
      <c r="C13" s="5">
        <v>103</v>
      </c>
      <c r="D13" s="5"/>
      <c r="E13" s="5">
        <v>90</v>
      </c>
      <c r="F13" s="5"/>
      <c r="G13" s="5"/>
      <c r="H13" s="5"/>
      <c r="I13" s="5"/>
      <c r="J13" s="5"/>
      <c r="K13" s="5"/>
      <c r="L13" s="5">
        <v>120</v>
      </c>
      <c r="M13" s="5">
        <v>140</v>
      </c>
      <c r="N13" s="5">
        <v>80</v>
      </c>
      <c r="O13" s="5">
        <v>20</v>
      </c>
      <c r="P13" s="5">
        <v>90</v>
      </c>
      <c r="Q13" s="5">
        <v>40</v>
      </c>
      <c r="R13" s="5">
        <v>30</v>
      </c>
      <c r="S13" s="5">
        <v>35</v>
      </c>
      <c r="T13" s="5">
        <v>180</v>
      </c>
      <c r="U13" s="5">
        <v>42</v>
      </c>
      <c r="V13" s="5"/>
      <c r="W13" s="5">
        <v>40</v>
      </c>
      <c r="X13" s="5">
        <v>175</v>
      </c>
      <c r="Y13" s="5">
        <v>150</v>
      </c>
      <c r="Z13" s="5">
        <v>110</v>
      </c>
      <c r="AA13" s="5">
        <v>285</v>
      </c>
      <c r="AB13" s="5"/>
      <c r="AC13" s="5">
        <v>220</v>
      </c>
      <c r="AD13" s="5"/>
      <c r="AE13" s="5"/>
      <c r="AF13" s="5"/>
      <c r="AG13" s="6">
        <f>SUM(B13:AF13)</f>
        <v>1950</v>
      </c>
    </row>
    <row r="14" spans="1:33" ht="58.5" customHeight="1" x14ac:dyDescent="0.25">
      <c r="A14" s="8" t="s">
        <v>5</v>
      </c>
      <c r="B14" s="9"/>
      <c r="C14" s="9" t="s">
        <v>133</v>
      </c>
      <c r="D14" s="9"/>
      <c r="E14" s="9" t="s">
        <v>385</v>
      </c>
      <c r="F14" s="9"/>
      <c r="G14" s="9"/>
      <c r="H14" s="9"/>
      <c r="I14" s="9"/>
      <c r="J14" s="9"/>
      <c r="K14" s="9"/>
      <c r="L14" s="9" t="s">
        <v>386</v>
      </c>
      <c r="M14" s="9" t="s">
        <v>387</v>
      </c>
      <c r="N14" s="9" t="s">
        <v>388</v>
      </c>
      <c r="O14" s="9" t="s">
        <v>26</v>
      </c>
      <c r="P14" s="9" t="s">
        <v>389</v>
      </c>
      <c r="Q14" s="9" t="s">
        <v>390</v>
      </c>
      <c r="R14" s="9" t="s">
        <v>52</v>
      </c>
      <c r="S14" s="9" t="s">
        <v>391</v>
      </c>
      <c r="T14" s="9" t="s">
        <v>392</v>
      </c>
      <c r="U14" s="9" t="s">
        <v>393</v>
      </c>
      <c r="V14" s="9"/>
      <c r="W14" s="9" t="s">
        <v>394</v>
      </c>
      <c r="X14" s="9" t="s">
        <v>395</v>
      </c>
      <c r="Y14" s="9" t="s">
        <v>396</v>
      </c>
      <c r="Z14" s="9" t="s">
        <v>397</v>
      </c>
      <c r="AA14" s="9" t="s">
        <v>398</v>
      </c>
      <c r="AB14" s="9"/>
      <c r="AC14" s="9" t="s">
        <v>399</v>
      </c>
      <c r="AD14" s="9"/>
      <c r="AE14" s="9"/>
      <c r="AF14" s="9"/>
      <c r="AG14" s="10"/>
    </row>
    <row r="15" spans="1:33" ht="13.2" x14ac:dyDescent="0.25">
      <c r="A15" s="7" t="s">
        <v>44</v>
      </c>
      <c r="B15" s="5"/>
      <c r="C15" s="5">
        <v>50</v>
      </c>
      <c r="D15" s="5"/>
      <c r="E15" s="5"/>
      <c r="F15" s="5"/>
      <c r="G15" s="5"/>
      <c r="H15" s="5">
        <v>95</v>
      </c>
      <c r="I15" s="5"/>
      <c r="J15" s="5"/>
      <c r="K15" s="5"/>
      <c r="L15" s="5"/>
      <c r="M15" s="5"/>
      <c r="N15" s="5"/>
      <c r="O15" s="5"/>
      <c r="P15" s="5"/>
      <c r="Q15" s="5">
        <v>5</v>
      </c>
      <c r="R15" s="5"/>
      <c r="S15" s="5"/>
      <c r="T15" s="5"/>
      <c r="U15" s="5"/>
      <c r="V15" s="5"/>
      <c r="W15" s="5">
        <v>25</v>
      </c>
      <c r="X15" s="5"/>
      <c r="Y15" s="5"/>
      <c r="Z15" s="5"/>
      <c r="AA15" s="5"/>
      <c r="AB15" s="5"/>
      <c r="AC15" s="5">
        <v>60</v>
      </c>
      <c r="AD15" s="5">
        <v>40</v>
      </c>
      <c r="AE15" s="5"/>
      <c r="AF15" s="5"/>
      <c r="AG15" s="6">
        <f>SUM(B15:AF15)</f>
        <v>275</v>
      </c>
    </row>
    <row r="16" spans="1:33" ht="17.25" customHeight="1" x14ac:dyDescent="0.25">
      <c r="A16" s="8" t="s">
        <v>5</v>
      </c>
      <c r="B16" s="9"/>
      <c r="C16" s="9" t="s">
        <v>400</v>
      </c>
      <c r="D16" s="9"/>
      <c r="E16" s="9"/>
      <c r="F16" s="9"/>
      <c r="G16" s="9"/>
      <c r="H16" s="9" t="s">
        <v>157</v>
      </c>
      <c r="I16" s="9"/>
      <c r="J16" s="9"/>
      <c r="K16" s="9"/>
      <c r="L16" s="9"/>
      <c r="M16" s="9"/>
      <c r="N16" s="9"/>
      <c r="O16" s="9"/>
      <c r="P16" s="9"/>
      <c r="Q16" s="9" t="s">
        <v>401</v>
      </c>
      <c r="R16" s="9"/>
      <c r="S16" s="9"/>
      <c r="T16" s="9"/>
      <c r="U16" s="9"/>
      <c r="V16" s="9"/>
      <c r="W16" s="9" t="s">
        <v>402</v>
      </c>
      <c r="X16" s="9"/>
      <c r="Y16" s="9"/>
      <c r="Z16" s="9"/>
      <c r="AA16" s="9"/>
      <c r="AB16" s="9"/>
      <c r="AC16" s="9" t="s">
        <v>403</v>
      </c>
      <c r="AD16" s="9" t="s">
        <v>404</v>
      </c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>
        <v>2730</v>
      </c>
      <c r="J17" s="5"/>
      <c r="K17" s="5"/>
      <c r="L17" s="5"/>
      <c r="M17" s="5"/>
      <c r="N17" s="5"/>
      <c r="O17" s="5"/>
      <c r="P17" s="5">
        <v>30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100</v>
      </c>
      <c r="AD17" s="5"/>
      <c r="AE17" s="5">
        <v>1600</v>
      </c>
      <c r="AF17" s="5"/>
      <c r="AG17" s="6">
        <f>SUM(B17:AF17)</f>
        <v>4460</v>
      </c>
    </row>
    <row r="18" spans="1:33" ht="13.2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 t="s">
        <v>405</v>
      </c>
      <c r="J18" s="9"/>
      <c r="K18" s="9"/>
      <c r="L18" s="9"/>
      <c r="M18" s="9"/>
      <c r="N18" s="9"/>
      <c r="O18" s="9"/>
      <c r="P18" s="9" t="s">
        <v>406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 t="s">
        <v>407</v>
      </c>
      <c r="AD18" s="9"/>
      <c r="AE18" s="9" t="s">
        <v>408</v>
      </c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55000</v>
      </c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55000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 t="s">
        <v>409</v>
      </c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>
        <v>50</v>
      </c>
      <c r="E23" s="5"/>
      <c r="F23" s="5"/>
      <c r="G23" s="5">
        <v>840</v>
      </c>
      <c r="H23" s="5"/>
      <c r="I23" s="5"/>
      <c r="J23" s="5">
        <v>200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2375</v>
      </c>
      <c r="AD23" s="5">
        <v>90</v>
      </c>
      <c r="AE23" s="5"/>
      <c r="AF23" s="5"/>
      <c r="AG23" s="6">
        <f>SUM(B23:AF23)</f>
        <v>3555</v>
      </c>
    </row>
    <row r="24" spans="1:33" ht="26.4" x14ac:dyDescent="0.25">
      <c r="A24" s="8" t="s">
        <v>5</v>
      </c>
      <c r="B24" s="9"/>
      <c r="C24" s="9"/>
      <c r="D24" s="9" t="s">
        <v>410</v>
      </c>
      <c r="E24" s="9"/>
      <c r="F24" s="9"/>
      <c r="G24" s="9" t="s">
        <v>411</v>
      </c>
      <c r="H24" s="9"/>
      <c r="I24" s="9"/>
      <c r="J24" s="9" t="s">
        <v>412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 t="s">
        <v>413</v>
      </c>
      <c r="AD24" s="9" t="s">
        <v>366</v>
      </c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/>
    </row>
    <row r="26" spans="1:33" ht="13.2" x14ac:dyDescent="0.25">
      <c r="A26" s="12" t="s">
        <v>57</v>
      </c>
      <c r="B26" s="13">
        <f t="shared" ref="B26:AG26" si="0">SUM(B5+B7+B9+B11+B13+B15+B17+B19+B21+B23)</f>
        <v>0</v>
      </c>
      <c r="C26" s="13">
        <f t="shared" si="0"/>
        <v>543</v>
      </c>
      <c r="D26" s="13">
        <f t="shared" si="0"/>
        <v>229</v>
      </c>
      <c r="E26" s="13">
        <f t="shared" si="0"/>
        <v>90</v>
      </c>
      <c r="F26" s="13">
        <f t="shared" si="0"/>
        <v>105</v>
      </c>
      <c r="G26" s="13">
        <f t="shared" si="0"/>
        <v>1040</v>
      </c>
      <c r="H26" s="13">
        <f t="shared" si="0"/>
        <v>235</v>
      </c>
      <c r="I26" s="13">
        <f t="shared" si="0"/>
        <v>3080</v>
      </c>
      <c r="J26" s="13">
        <f t="shared" si="0"/>
        <v>600</v>
      </c>
      <c r="K26" s="13">
        <f t="shared" si="0"/>
        <v>150</v>
      </c>
      <c r="L26" s="13">
        <f t="shared" si="0"/>
        <v>320</v>
      </c>
      <c r="M26" s="13">
        <f t="shared" si="0"/>
        <v>215</v>
      </c>
      <c r="N26" s="13">
        <f t="shared" si="0"/>
        <v>180</v>
      </c>
      <c r="O26" s="13">
        <f t="shared" si="0"/>
        <v>220</v>
      </c>
      <c r="P26" s="13">
        <f t="shared" si="0"/>
        <v>120</v>
      </c>
      <c r="Q26" s="13">
        <f t="shared" si="0"/>
        <v>135</v>
      </c>
      <c r="R26" s="13">
        <f t="shared" si="0"/>
        <v>50</v>
      </c>
      <c r="S26" s="14">
        <f t="shared" si="0"/>
        <v>235</v>
      </c>
      <c r="T26" s="13">
        <f t="shared" si="0"/>
        <v>759</v>
      </c>
      <c r="U26" s="13">
        <f t="shared" si="0"/>
        <v>42</v>
      </c>
      <c r="V26" s="13">
        <f t="shared" si="0"/>
        <v>23</v>
      </c>
      <c r="W26" s="13">
        <f t="shared" si="0"/>
        <v>55267</v>
      </c>
      <c r="X26" s="13">
        <f t="shared" si="0"/>
        <v>175</v>
      </c>
      <c r="Y26" s="13">
        <f t="shared" si="0"/>
        <v>150</v>
      </c>
      <c r="Z26" s="13">
        <f t="shared" si="0"/>
        <v>135</v>
      </c>
      <c r="AA26" s="13">
        <f t="shared" si="0"/>
        <v>634</v>
      </c>
      <c r="AB26" s="13">
        <f>SUM(AB5+AB7+AB9+AB11+AB13+AB15+AB17+AB19+AB21+AB23)</f>
        <v>0</v>
      </c>
      <c r="AC26" s="13" t="e">
        <f t="shared" si="0"/>
        <v>#VALUE!</v>
      </c>
      <c r="AD26" s="13">
        <f t="shared" si="0"/>
        <v>299</v>
      </c>
      <c r="AE26" s="13">
        <f>SUM(AE5+AE7+AE9+AE11+AE13+AE15+AE17+AE19+AE21+AE23)</f>
        <v>1859</v>
      </c>
      <c r="AF26" s="13">
        <f t="shared" si="0"/>
        <v>0</v>
      </c>
      <c r="AG26" s="15">
        <f t="shared" si="0"/>
        <v>69945</v>
      </c>
    </row>
  </sheetData>
  <mergeCells count="2">
    <mergeCell ref="A1:A2"/>
    <mergeCell ref="B1:AG2"/>
  </mergeCells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50AC0-3E60-425C-91D6-83CA1C7FB9DC}">
  <sheetPr>
    <outlinePr summaryBelow="0" summaryRight="0"/>
  </sheetPr>
  <dimension ref="A1:AG26"/>
  <sheetViews>
    <sheetView showGridLines="0" zoomScale="84" workbookViewId="0">
      <pane xSplit="1" ySplit="3" topLeftCell="U7" activePane="bottomRight" state="frozen"/>
      <selection pane="topRight" activeCell="F27" sqref="F27"/>
      <selection pane="bottomLeft" activeCell="F27" sqref="F27"/>
      <selection pane="bottomRight" activeCell="F27" sqref="F27"/>
    </sheetView>
  </sheetViews>
  <sheetFormatPr defaultColWidth="12.5546875" defaultRowHeight="15.75" customHeight="1" x14ac:dyDescent="0.25"/>
  <cols>
    <col min="1" max="1" width="27.6640625" customWidth="1"/>
    <col min="2" max="2" width="9.332031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7.554687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>
        <v>49</v>
      </c>
      <c r="C5" s="5">
        <v>59</v>
      </c>
      <c r="D5" s="5">
        <v>49</v>
      </c>
      <c r="E5" s="5"/>
      <c r="F5" s="5"/>
      <c r="G5" s="5"/>
      <c r="H5" s="5">
        <v>11</v>
      </c>
      <c r="I5" s="5"/>
      <c r="J5" s="5">
        <v>5000</v>
      </c>
      <c r="K5" s="5">
        <v>60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24</v>
      </c>
      <c r="AC5" s="5"/>
      <c r="AD5" s="5"/>
      <c r="AE5" s="5"/>
      <c r="AF5" s="5"/>
      <c r="AG5" s="6">
        <f>SUM(B5:AF5)</f>
        <v>5252</v>
      </c>
    </row>
    <row r="6" spans="1:33" ht="39.6" x14ac:dyDescent="0.25">
      <c r="A6" s="8" t="s">
        <v>5</v>
      </c>
      <c r="B6" s="9" t="s">
        <v>195</v>
      </c>
      <c r="C6" s="9" t="s">
        <v>414</v>
      </c>
      <c r="D6" s="9" t="s">
        <v>195</v>
      </c>
      <c r="E6" s="9"/>
      <c r="F6" s="9"/>
      <c r="G6" s="9"/>
      <c r="H6" s="9" t="s">
        <v>195</v>
      </c>
      <c r="I6" s="9"/>
      <c r="J6" s="9" t="s">
        <v>415</v>
      </c>
      <c r="K6" s="9" t="s">
        <v>416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 t="s">
        <v>417</v>
      </c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>
        <v>150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150</v>
      </c>
    </row>
    <row r="8" spans="1:33" ht="13.2" x14ac:dyDescent="0.25">
      <c r="A8" s="8" t="s">
        <v>5</v>
      </c>
      <c r="B8" s="9"/>
      <c r="C8" s="9" t="s">
        <v>111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/>
      <c r="D9" s="5"/>
      <c r="E9" s="5">
        <v>372</v>
      </c>
      <c r="F9" s="5"/>
      <c r="G9" s="5"/>
      <c r="H9" s="5"/>
      <c r="I9" s="5"/>
      <c r="J9" s="5">
        <v>37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70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6">
        <f>SUM(B9:AF9)</f>
        <v>479</v>
      </c>
    </row>
    <row r="10" spans="1:33" ht="33.75" customHeight="1" x14ac:dyDescent="0.25">
      <c r="A10" s="8" t="s">
        <v>5</v>
      </c>
      <c r="B10" s="9"/>
      <c r="C10" s="9"/>
      <c r="D10" s="9"/>
      <c r="E10" s="9" t="s">
        <v>418</v>
      </c>
      <c r="F10" s="9"/>
      <c r="G10" s="9"/>
      <c r="H10" s="9"/>
      <c r="I10" s="9"/>
      <c r="J10" s="9" t="s">
        <v>10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 t="s">
        <v>419</v>
      </c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</row>
    <row r="11" spans="1:33" ht="13.2" x14ac:dyDescent="0.25">
      <c r="A11" s="7" t="s">
        <v>21</v>
      </c>
      <c r="B11" s="5">
        <v>17</v>
      </c>
      <c r="C11" s="5"/>
      <c r="D11" s="5">
        <v>120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>
        <f>SUM(B11:AF11)</f>
        <v>137</v>
      </c>
    </row>
    <row r="12" spans="1:33" ht="42" customHeight="1" x14ac:dyDescent="0.25">
      <c r="A12" s="8" t="s">
        <v>5</v>
      </c>
      <c r="B12" s="9" t="s">
        <v>241</v>
      </c>
      <c r="C12" s="9"/>
      <c r="D12" s="9" t="s">
        <v>420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spans="1:33" ht="13.2" x14ac:dyDescent="0.25">
      <c r="A13" s="7" t="s">
        <v>24</v>
      </c>
      <c r="B13" s="5"/>
      <c r="C13" s="5">
        <v>61</v>
      </c>
      <c r="D13" s="5">
        <v>99</v>
      </c>
      <c r="E13" s="5">
        <v>50</v>
      </c>
      <c r="F13" s="5">
        <v>30</v>
      </c>
      <c r="G13" s="5">
        <v>100</v>
      </c>
      <c r="H13" s="5">
        <v>155</v>
      </c>
      <c r="I13" s="5"/>
      <c r="J13" s="5">
        <v>60</v>
      </c>
      <c r="K13" s="5">
        <v>245</v>
      </c>
      <c r="L13" s="5">
        <v>285</v>
      </c>
      <c r="M13" s="5">
        <v>200</v>
      </c>
      <c r="N13" s="5">
        <v>230</v>
      </c>
      <c r="O13" s="5">
        <v>100</v>
      </c>
      <c r="P13" s="5">
        <v>230</v>
      </c>
      <c r="Q13" s="5">
        <v>140</v>
      </c>
      <c r="R13" s="5">
        <v>150</v>
      </c>
      <c r="S13" s="5">
        <v>180</v>
      </c>
      <c r="T13" s="5">
        <v>170</v>
      </c>
      <c r="U13" s="5">
        <v>385</v>
      </c>
      <c r="V13" s="5"/>
      <c r="W13" s="5">
        <v>100</v>
      </c>
      <c r="X13" s="5">
        <v>190</v>
      </c>
      <c r="Y13" s="5">
        <v>240</v>
      </c>
      <c r="Z13" s="5">
        <v>135</v>
      </c>
      <c r="AA13" s="5">
        <v>190</v>
      </c>
      <c r="AB13" s="5">
        <v>200</v>
      </c>
      <c r="AC13" s="5">
        <v>236</v>
      </c>
      <c r="AD13" s="5">
        <v>188</v>
      </c>
      <c r="AE13" s="5">
        <v>180</v>
      </c>
      <c r="AF13" s="5">
        <v>532</v>
      </c>
      <c r="AG13" s="6">
        <f>SUM(B13:AF13)</f>
        <v>5061</v>
      </c>
    </row>
    <row r="14" spans="1:33" ht="58.5" customHeight="1" x14ac:dyDescent="0.25">
      <c r="A14" s="8" t="s">
        <v>5</v>
      </c>
      <c r="B14" s="9"/>
      <c r="C14" s="9" t="s">
        <v>78</v>
      </c>
      <c r="D14" s="9" t="s">
        <v>421</v>
      </c>
      <c r="E14" s="9" t="s">
        <v>422</v>
      </c>
      <c r="F14" s="9" t="s">
        <v>213</v>
      </c>
      <c r="G14" s="9" t="s">
        <v>423</v>
      </c>
      <c r="H14" s="9" t="s">
        <v>424</v>
      </c>
      <c r="I14" s="9"/>
      <c r="J14" s="9" t="s">
        <v>293</v>
      </c>
      <c r="K14" s="9" t="s">
        <v>425</v>
      </c>
      <c r="L14" s="9" t="s">
        <v>426</v>
      </c>
      <c r="M14" s="9" t="s">
        <v>427</v>
      </c>
      <c r="N14" s="9" t="s">
        <v>428</v>
      </c>
      <c r="O14" s="9" t="s">
        <v>429</v>
      </c>
      <c r="P14" s="9" t="s">
        <v>430</v>
      </c>
      <c r="Q14" s="9" t="s">
        <v>431</v>
      </c>
      <c r="R14" s="9" t="s">
        <v>432</v>
      </c>
      <c r="S14" s="9" t="s">
        <v>433</v>
      </c>
      <c r="T14" s="9" t="s">
        <v>434</v>
      </c>
      <c r="U14" s="9" t="s">
        <v>435</v>
      </c>
      <c r="V14" s="9"/>
      <c r="W14" s="9" t="s">
        <v>436</v>
      </c>
      <c r="X14" s="9" t="s">
        <v>437</v>
      </c>
      <c r="Y14" s="9" t="s">
        <v>438</v>
      </c>
      <c r="Z14" s="9" t="s">
        <v>439</v>
      </c>
      <c r="AA14" s="9" t="s">
        <v>440</v>
      </c>
      <c r="AB14" s="9" t="s">
        <v>441</v>
      </c>
      <c r="AC14" s="9" t="s">
        <v>442</v>
      </c>
      <c r="AD14" s="9" t="s">
        <v>443</v>
      </c>
      <c r="AE14" s="9" t="s">
        <v>444</v>
      </c>
      <c r="AF14" s="9" t="s">
        <v>445</v>
      </c>
      <c r="AG14" s="10"/>
    </row>
    <row r="15" spans="1:33" ht="13.2" x14ac:dyDescent="0.25">
      <c r="A15" s="7" t="s">
        <v>44</v>
      </c>
      <c r="B15" s="5"/>
      <c r="C15" s="5"/>
      <c r="D15" s="5">
        <v>1450</v>
      </c>
      <c r="E15" s="5"/>
      <c r="F15" s="5"/>
      <c r="G15" s="5"/>
      <c r="H15" s="5"/>
      <c r="I15" s="5"/>
      <c r="J15" s="5"/>
      <c r="K15" s="5">
        <v>336</v>
      </c>
      <c r="L15" s="5"/>
      <c r="M15" s="5"/>
      <c r="N15" s="5"/>
      <c r="O15" s="5"/>
      <c r="P15" s="5"/>
      <c r="Q15" s="5"/>
      <c r="R15" s="5"/>
      <c r="S15" s="5"/>
      <c r="T15" s="5"/>
      <c r="U15" s="5">
        <v>100</v>
      </c>
      <c r="V15" s="5"/>
      <c r="W15" s="5"/>
      <c r="X15" s="5">
        <v>1200</v>
      </c>
      <c r="Y15" s="5">
        <v>511</v>
      </c>
      <c r="Z15" s="5"/>
      <c r="AA15" s="5"/>
      <c r="AB15" s="5">
        <v>60</v>
      </c>
      <c r="AC15" s="5"/>
      <c r="AD15" s="5"/>
      <c r="AE15" s="5"/>
      <c r="AF15" s="5"/>
      <c r="AG15" s="6">
        <f>SUM(B15:AF15)</f>
        <v>3657</v>
      </c>
    </row>
    <row r="16" spans="1:33" ht="17.25" customHeight="1" x14ac:dyDescent="0.25">
      <c r="A16" s="8" t="s">
        <v>5</v>
      </c>
      <c r="B16" s="9"/>
      <c r="C16" s="9"/>
      <c r="D16" s="9" t="s">
        <v>446</v>
      </c>
      <c r="E16" s="9"/>
      <c r="F16" s="9"/>
      <c r="G16" s="9"/>
      <c r="H16" s="9"/>
      <c r="I16" s="9"/>
      <c r="J16" s="9"/>
      <c r="K16" s="9" t="s">
        <v>447</v>
      </c>
      <c r="L16" s="9"/>
      <c r="M16" s="9"/>
      <c r="N16" s="9"/>
      <c r="O16" s="9"/>
      <c r="P16" s="9"/>
      <c r="Q16" s="9"/>
      <c r="R16" s="9"/>
      <c r="S16" s="9"/>
      <c r="T16" s="9"/>
      <c r="U16" s="9" t="s">
        <v>448</v>
      </c>
      <c r="V16" s="9"/>
      <c r="W16" s="9"/>
      <c r="X16" s="9" t="s">
        <v>449</v>
      </c>
      <c r="Y16" s="9" t="s">
        <v>450</v>
      </c>
      <c r="Z16" s="9"/>
      <c r="AA16" s="9"/>
      <c r="AB16" s="9" t="s">
        <v>286</v>
      </c>
      <c r="AC16" s="9"/>
      <c r="AD16" s="9"/>
      <c r="AE16" s="9"/>
      <c r="AF16" s="9"/>
      <c r="AG16" s="10"/>
    </row>
    <row r="17" spans="1:33" ht="13.2" x14ac:dyDescent="0.25">
      <c r="A17" s="7" t="s">
        <v>47</v>
      </c>
      <c r="B17" s="5">
        <v>197</v>
      </c>
      <c r="C17" s="5"/>
      <c r="D17" s="5">
        <v>100</v>
      </c>
      <c r="E17" s="5"/>
      <c r="F17" s="5"/>
      <c r="G17" s="5"/>
      <c r="H17" s="5">
        <v>100</v>
      </c>
      <c r="I17" s="5">
        <v>6000</v>
      </c>
      <c r="J17" s="5">
        <v>285</v>
      </c>
      <c r="K17" s="5"/>
      <c r="L17" s="5"/>
      <c r="M17" s="5"/>
      <c r="N17" s="5"/>
      <c r="O17" s="5"/>
      <c r="P17" s="5"/>
      <c r="Q17" s="5"/>
      <c r="R17" s="5"/>
      <c r="S17" s="5"/>
      <c r="T17" s="5">
        <v>400</v>
      </c>
      <c r="U17" s="5"/>
      <c r="V17" s="5"/>
      <c r="W17" s="5"/>
      <c r="X17" s="5">
        <v>40</v>
      </c>
      <c r="Y17" s="5"/>
      <c r="Z17" s="5"/>
      <c r="AA17" s="5"/>
      <c r="AB17" s="5">
        <v>20</v>
      </c>
      <c r="AC17" s="5">
        <v>20</v>
      </c>
      <c r="AD17" s="5"/>
      <c r="AE17" s="5"/>
      <c r="AF17" s="5"/>
      <c r="AG17" s="6">
        <f>SUM(B17:AF17)</f>
        <v>7162</v>
      </c>
    </row>
    <row r="18" spans="1:33" ht="39.6" x14ac:dyDescent="0.25">
      <c r="A18" s="8" t="s">
        <v>5</v>
      </c>
      <c r="B18" s="9" t="s">
        <v>451</v>
      </c>
      <c r="C18" s="9"/>
      <c r="D18" s="9" t="s">
        <v>452</v>
      </c>
      <c r="E18" s="9"/>
      <c r="F18" s="9"/>
      <c r="G18" s="9"/>
      <c r="H18" s="9" t="s">
        <v>453</v>
      </c>
      <c r="I18" s="9" t="s">
        <v>454</v>
      </c>
      <c r="J18" s="9" t="s">
        <v>455</v>
      </c>
      <c r="K18" s="9"/>
      <c r="L18" s="9"/>
      <c r="M18" s="9"/>
      <c r="N18" s="9"/>
      <c r="O18" s="9"/>
      <c r="P18" s="9"/>
      <c r="Q18" s="9"/>
      <c r="R18" s="9"/>
      <c r="S18" s="9"/>
      <c r="T18" s="9" t="s">
        <v>456</v>
      </c>
      <c r="U18" s="9"/>
      <c r="V18" s="9"/>
      <c r="W18" s="9"/>
      <c r="X18" s="9" t="s">
        <v>457</v>
      </c>
      <c r="Y18" s="9"/>
      <c r="Z18" s="9"/>
      <c r="AA18" s="9"/>
      <c r="AB18" s="9" t="s">
        <v>458</v>
      </c>
      <c r="AC18" s="9" t="s">
        <v>458</v>
      </c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>
        <v>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50</v>
      </c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50</v>
      </c>
    </row>
    <row r="24" spans="1:33" ht="13.2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 t="s">
        <v>175</v>
      </c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 t="shared" ref="B26:AG26" si="0">SUM(B5+B7+B9+B11+B13+B15+B17+B19+B21+B23)</f>
        <v>263</v>
      </c>
      <c r="C26" s="13">
        <f t="shared" si="0"/>
        <v>270</v>
      </c>
      <c r="D26" s="13">
        <f t="shared" si="0"/>
        <v>1818</v>
      </c>
      <c r="E26" s="13">
        <f t="shared" si="0"/>
        <v>422</v>
      </c>
      <c r="F26" s="13">
        <f t="shared" si="0"/>
        <v>30</v>
      </c>
      <c r="G26" s="13">
        <f t="shared" si="0"/>
        <v>100</v>
      </c>
      <c r="H26" s="13">
        <f t="shared" si="0"/>
        <v>266</v>
      </c>
      <c r="I26" s="13">
        <f t="shared" si="0"/>
        <v>6000</v>
      </c>
      <c r="J26" s="13">
        <f t="shared" si="0"/>
        <v>5382</v>
      </c>
      <c r="K26" s="13">
        <f t="shared" si="0"/>
        <v>641</v>
      </c>
      <c r="L26" s="13">
        <f t="shared" si="0"/>
        <v>285</v>
      </c>
      <c r="M26" s="13">
        <f t="shared" si="0"/>
        <v>200</v>
      </c>
      <c r="N26" s="13">
        <f t="shared" si="0"/>
        <v>230</v>
      </c>
      <c r="O26" s="13">
        <f t="shared" si="0"/>
        <v>100</v>
      </c>
      <c r="P26" s="13">
        <f t="shared" si="0"/>
        <v>230</v>
      </c>
      <c r="Q26" s="13">
        <f t="shared" si="0"/>
        <v>140</v>
      </c>
      <c r="R26" s="13">
        <f t="shared" si="0"/>
        <v>150</v>
      </c>
      <c r="S26" s="14">
        <f t="shared" si="0"/>
        <v>180</v>
      </c>
      <c r="T26" s="13">
        <f t="shared" si="0"/>
        <v>570</v>
      </c>
      <c r="U26" s="13">
        <f t="shared" si="0"/>
        <v>485</v>
      </c>
      <c r="V26" s="13">
        <f t="shared" si="0"/>
        <v>70</v>
      </c>
      <c r="W26" s="13">
        <f t="shared" si="0"/>
        <v>150</v>
      </c>
      <c r="X26" s="13">
        <f t="shared" si="0"/>
        <v>1430</v>
      </c>
      <c r="Y26" s="13">
        <f t="shared" si="0"/>
        <v>751</v>
      </c>
      <c r="Z26" s="13">
        <f t="shared" si="0"/>
        <v>135</v>
      </c>
      <c r="AA26" s="13">
        <f t="shared" si="0"/>
        <v>190</v>
      </c>
      <c r="AB26" s="13">
        <f>SUM(AB5+AB7+AB9+AB11+AB13+AB15+AB17+AB19+AB21+AB23)</f>
        <v>304</v>
      </c>
      <c r="AC26" s="13">
        <f t="shared" si="0"/>
        <v>256</v>
      </c>
      <c r="AD26" s="13">
        <f t="shared" si="0"/>
        <v>188</v>
      </c>
      <c r="AE26" s="13">
        <f>SUM(AE5+AE7+AE9+AE11+AE13+AE15+AE17+AE19+AE21+AE23)</f>
        <v>180</v>
      </c>
      <c r="AF26" s="13">
        <f t="shared" si="0"/>
        <v>532</v>
      </c>
      <c r="AG26" s="15">
        <f t="shared" si="0"/>
        <v>21948</v>
      </c>
    </row>
  </sheetData>
  <mergeCells count="2">
    <mergeCell ref="A1:A2"/>
    <mergeCell ref="B1:AG2"/>
  </mergeCells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2D65-2A4B-4AE1-B792-7CC98FF44659}">
  <sheetPr>
    <outlinePr summaryBelow="0" summaryRight="0"/>
  </sheetPr>
  <dimension ref="A1:AG26"/>
  <sheetViews>
    <sheetView showGridLines="0" zoomScale="74" workbookViewId="0">
      <pane xSplit="1" ySplit="3" topLeftCell="AE4" activePane="bottomRight" state="frozen"/>
      <selection pane="topRight" activeCell="B1" sqref="B1"/>
      <selection pane="bottomLeft" activeCell="A4" sqref="A4"/>
      <selection pane="bottomRight" activeCell="AG13" sqref="AG13"/>
    </sheetView>
  </sheetViews>
  <sheetFormatPr defaultColWidth="12.5546875" defaultRowHeight="15.75" customHeight="1" x14ac:dyDescent="0.25"/>
  <cols>
    <col min="1" max="1" width="27.6640625" customWidth="1"/>
    <col min="2" max="2" width="9.332031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7.554687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910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>
        <v>586</v>
      </c>
      <c r="D5" s="5"/>
      <c r="E5" s="5">
        <v>128</v>
      </c>
      <c r="F5" s="5">
        <v>49</v>
      </c>
      <c r="G5" s="5"/>
      <c r="H5" s="5">
        <v>9</v>
      </c>
      <c r="I5" s="5"/>
      <c r="J5" s="5">
        <v>950</v>
      </c>
      <c r="K5" s="5"/>
      <c r="L5" s="5">
        <v>5</v>
      </c>
      <c r="M5" s="5"/>
      <c r="N5" s="5"/>
      <c r="O5" s="5">
        <v>580</v>
      </c>
      <c r="P5" s="5"/>
      <c r="Q5" s="5"/>
      <c r="R5" s="5"/>
      <c r="S5" s="5"/>
      <c r="T5" s="5">
        <v>49</v>
      </c>
      <c r="U5" s="5">
        <v>11</v>
      </c>
      <c r="V5" s="5"/>
      <c r="W5" s="5">
        <v>10000</v>
      </c>
      <c r="X5" s="5"/>
      <c r="Y5" s="5"/>
      <c r="Z5" s="5"/>
      <c r="AA5" s="5"/>
      <c r="AB5" s="5"/>
      <c r="AC5" s="5"/>
      <c r="AD5" s="5"/>
      <c r="AE5" s="5"/>
      <c r="AF5" s="5"/>
      <c r="AG5" s="6">
        <f>SUM(B5:AF5)</f>
        <v>12367</v>
      </c>
    </row>
    <row r="6" spans="1:33" ht="39.6" x14ac:dyDescent="0.25">
      <c r="A6" s="8" t="s">
        <v>5</v>
      </c>
      <c r="B6" s="9"/>
      <c r="C6" s="9" t="s">
        <v>459</v>
      </c>
      <c r="D6" s="9"/>
      <c r="E6" s="9" t="s">
        <v>460</v>
      </c>
      <c r="F6" s="9" t="s">
        <v>461</v>
      </c>
      <c r="G6" s="9"/>
      <c r="H6" s="9" t="s">
        <v>462</v>
      </c>
      <c r="I6" s="9"/>
      <c r="J6" s="9" t="s">
        <v>463</v>
      </c>
      <c r="K6" s="9"/>
      <c r="L6" s="9" t="s">
        <v>464</v>
      </c>
      <c r="M6" s="9"/>
      <c r="N6" s="9"/>
      <c r="O6" s="9" t="s">
        <v>465</v>
      </c>
      <c r="P6" s="9"/>
      <c r="Q6" s="9"/>
      <c r="R6" s="9"/>
      <c r="S6" s="9"/>
      <c r="T6" s="9" t="s">
        <v>317</v>
      </c>
      <c r="U6" s="9" t="s">
        <v>232</v>
      </c>
      <c r="V6" s="9"/>
      <c r="W6" s="9" t="s">
        <v>908</v>
      </c>
      <c r="X6" s="9"/>
      <c r="Y6" s="9"/>
      <c r="Z6" s="9"/>
      <c r="AA6" s="9"/>
      <c r="AB6" s="9"/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v>150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80</v>
      </c>
      <c r="AF7" s="5"/>
      <c r="AG7" s="6">
        <f>SUM(B7:AF7)</f>
        <v>230</v>
      </c>
    </row>
    <row r="8" spans="1:33" ht="13.2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 t="s">
        <v>466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 t="s">
        <v>467</v>
      </c>
      <c r="AF8" s="9"/>
      <c r="AG8" s="10"/>
    </row>
    <row r="9" spans="1:33" ht="13.2" x14ac:dyDescent="0.25">
      <c r="A9" s="7" t="s">
        <v>16</v>
      </c>
      <c r="B9" s="5"/>
      <c r="C9" s="5"/>
      <c r="D9" s="5"/>
      <c r="E9" s="5">
        <v>70</v>
      </c>
      <c r="F9" s="5"/>
      <c r="G9" s="5">
        <v>70</v>
      </c>
      <c r="H9" s="5"/>
      <c r="I9" s="5"/>
      <c r="J9" s="5"/>
      <c r="K9" s="5">
        <v>200</v>
      </c>
      <c r="L9" s="5"/>
      <c r="M9" s="5">
        <v>200</v>
      </c>
      <c r="N9" s="5"/>
      <c r="O9" s="5"/>
      <c r="P9" s="5"/>
      <c r="Q9" s="5">
        <v>200</v>
      </c>
      <c r="R9" s="5">
        <v>110</v>
      </c>
      <c r="S9" s="5">
        <v>200</v>
      </c>
      <c r="T9" s="5"/>
      <c r="U9" s="5"/>
      <c r="V9" s="5">
        <v>270</v>
      </c>
      <c r="W9" s="5"/>
      <c r="X9" s="5"/>
      <c r="Y9" s="5"/>
      <c r="Z9" s="5"/>
      <c r="AA9" s="5"/>
      <c r="AB9" s="5"/>
      <c r="AC9" s="5"/>
      <c r="AD9" s="5"/>
      <c r="AE9" s="5"/>
      <c r="AF9" s="5">
        <v>2500</v>
      </c>
      <c r="AG9" s="6">
        <f>SUM(B9:AF9)</f>
        <v>3820</v>
      </c>
    </row>
    <row r="10" spans="1:33" ht="33.75" customHeight="1" x14ac:dyDescent="0.25">
      <c r="A10" s="8" t="s">
        <v>5</v>
      </c>
      <c r="B10" s="9"/>
      <c r="C10" s="9"/>
      <c r="D10" s="9"/>
      <c r="E10" s="9" t="s">
        <v>468</v>
      </c>
      <c r="F10" s="9"/>
      <c r="G10" s="9" t="s">
        <v>469</v>
      </c>
      <c r="H10" s="9"/>
      <c r="I10" s="9"/>
      <c r="J10" s="9"/>
      <c r="K10" s="9" t="s">
        <v>322</v>
      </c>
      <c r="L10" s="9"/>
      <c r="M10" s="9" t="s">
        <v>470</v>
      </c>
      <c r="N10" s="9"/>
      <c r="O10" s="9"/>
      <c r="P10" s="9"/>
      <c r="Q10" s="9" t="s">
        <v>17</v>
      </c>
      <c r="R10" s="9" t="s">
        <v>471</v>
      </c>
      <c r="S10" s="9" t="s">
        <v>18</v>
      </c>
      <c r="T10" s="9"/>
      <c r="U10" s="9"/>
      <c r="V10" s="9" t="s">
        <v>376</v>
      </c>
      <c r="W10" s="9"/>
      <c r="X10" s="9"/>
      <c r="Y10" s="9"/>
      <c r="Z10" s="9"/>
      <c r="AA10" s="9"/>
      <c r="AB10" s="9"/>
      <c r="AC10" s="9"/>
      <c r="AD10" s="9"/>
      <c r="AE10" s="9"/>
      <c r="AF10" s="9" t="s">
        <v>909</v>
      </c>
      <c r="AG10" s="10"/>
    </row>
    <row r="11" spans="1:33" ht="13.2" x14ac:dyDescent="0.25">
      <c r="A11" s="7" t="s">
        <v>21</v>
      </c>
      <c r="B11" s="5"/>
      <c r="C11" s="5"/>
      <c r="D11" s="5"/>
      <c r="E11" s="5"/>
      <c r="F11" s="5">
        <v>210</v>
      </c>
      <c r="G11" s="5"/>
      <c r="H11" s="5"/>
      <c r="I11" s="5"/>
      <c r="J11" s="5"/>
      <c r="K11" s="5"/>
      <c r="L11" s="5"/>
      <c r="M11" s="5"/>
      <c r="N11" s="5">
        <v>100</v>
      </c>
      <c r="O11" s="5"/>
      <c r="P11" s="5">
        <v>87</v>
      </c>
      <c r="Q11" s="5">
        <v>58</v>
      </c>
      <c r="R11" s="5"/>
      <c r="S11" s="5"/>
      <c r="T11" s="5"/>
      <c r="U11" s="5">
        <v>120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>
        <f>SUM(B11:AF11)</f>
        <v>575</v>
      </c>
    </row>
    <row r="12" spans="1:33" ht="42" customHeight="1" x14ac:dyDescent="0.25">
      <c r="A12" s="8" t="s">
        <v>5</v>
      </c>
      <c r="B12" s="9"/>
      <c r="C12" s="9"/>
      <c r="D12" s="9"/>
      <c r="E12" s="9"/>
      <c r="F12" s="9" t="s">
        <v>138</v>
      </c>
      <c r="G12" s="9"/>
      <c r="H12" s="9"/>
      <c r="I12" s="9"/>
      <c r="J12" s="9"/>
      <c r="K12" s="9"/>
      <c r="L12" s="9"/>
      <c r="M12" s="9"/>
      <c r="N12" s="9" t="s">
        <v>84</v>
      </c>
      <c r="O12" s="9"/>
      <c r="P12" s="9" t="s">
        <v>472</v>
      </c>
      <c r="Q12" s="9" t="s">
        <v>473</v>
      </c>
      <c r="R12" s="9"/>
      <c r="S12" s="9"/>
      <c r="T12" s="9"/>
      <c r="U12" s="9" t="s">
        <v>474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spans="1:33" ht="13.2" x14ac:dyDescent="0.25">
      <c r="A13" s="7" t="s">
        <v>24</v>
      </c>
      <c r="B13" s="5">
        <v>100</v>
      </c>
      <c r="C13" s="5">
        <v>280</v>
      </c>
      <c r="D13" s="5">
        <v>324</v>
      </c>
      <c r="E13" s="5">
        <v>168</v>
      </c>
      <c r="F13" s="5">
        <v>255</v>
      </c>
      <c r="G13" s="5">
        <v>153</v>
      </c>
      <c r="H13" s="5">
        <v>130</v>
      </c>
      <c r="I13" s="5">
        <v>185</v>
      </c>
      <c r="J13" s="5">
        <v>354</v>
      </c>
      <c r="K13" s="5">
        <v>130</v>
      </c>
      <c r="L13" s="5"/>
      <c r="M13" s="5"/>
      <c r="N13" s="5">
        <v>45</v>
      </c>
      <c r="O13" s="5">
        <v>70</v>
      </c>
      <c r="P13" s="5"/>
      <c r="Q13" s="5">
        <v>60</v>
      </c>
      <c r="R13" s="5">
        <v>100</v>
      </c>
      <c r="S13" s="5">
        <v>60</v>
      </c>
      <c r="T13" s="5"/>
      <c r="U13" s="5">
        <v>100</v>
      </c>
      <c r="V13" s="5">
        <v>15</v>
      </c>
      <c r="W13" s="5">
        <v>110</v>
      </c>
      <c r="X13" s="5">
        <v>60</v>
      </c>
      <c r="Y13" s="5">
        <v>125</v>
      </c>
      <c r="Z13" s="5"/>
      <c r="AA13" s="5">
        <v>20</v>
      </c>
      <c r="AB13" s="5"/>
      <c r="AC13" s="5">
        <v>175</v>
      </c>
      <c r="AD13" s="5">
        <v>153</v>
      </c>
      <c r="AE13" s="5">
        <v>55</v>
      </c>
      <c r="AF13" s="5">
        <v>40</v>
      </c>
      <c r="AG13" s="6">
        <f>SUM(B13:AF13)</f>
        <v>3267</v>
      </c>
    </row>
    <row r="14" spans="1:33" ht="58.5" customHeight="1" x14ac:dyDescent="0.25">
      <c r="A14" s="8" t="s">
        <v>5</v>
      </c>
      <c r="B14" s="9" t="s">
        <v>429</v>
      </c>
      <c r="C14" s="9" t="s">
        <v>475</v>
      </c>
      <c r="D14" s="9" t="s">
        <v>476</v>
      </c>
      <c r="E14" s="9" t="s">
        <v>477</v>
      </c>
      <c r="F14" s="9" t="s">
        <v>478</v>
      </c>
      <c r="G14" s="9" t="s">
        <v>479</v>
      </c>
      <c r="H14" s="9" t="s">
        <v>439</v>
      </c>
      <c r="I14" s="9" t="s">
        <v>480</v>
      </c>
      <c r="J14" s="9" t="s">
        <v>481</v>
      </c>
      <c r="K14" s="9" t="s">
        <v>482</v>
      </c>
      <c r="L14" s="9"/>
      <c r="M14" s="9"/>
      <c r="N14" s="9" t="s">
        <v>483</v>
      </c>
      <c r="O14" s="9" t="s">
        <v>162</v>
      </c>
      <c r="P14" s="9"/>
      <c r="Q14" s="9" t="s">
        <v>484</v>
      </c>
      <c r="R14" s="9" t="s">
        <v>485</v>
      </c>
      <c r="S14" s="9" t="s">
        <v>486</v>
      </c>
      <c r="T14" s="9"/>
      <c r="U14" s="9" t="s">
        <v>487</v>
      </c>
      <c r="V14" s="9" t="s">
        <v>39</v>
      </c>
      <c r="W14" s="9" t="s">
        <v>488</v>
      </c>
      <c r="X14" s="9" t="s">
        <v>293</v>
      </c>
      <c r="Y14" s="9" t="s">
        <v>489</v>
      </c>
      <c r="Z14" s="9"/>
      <c r="AA14" s="9" t="s">
        <v>39</v>
      </c>
      <c r="AB14" s="9"/>
      <c r="AC14" s="9" t="s">
        <v>490</v>
      </c>
      <c r="AD14" s="9" t="s">
        <v>491</v>
      </c>
      <c r="AE14" s="9" t="s">
        <v>492</v>
      </c>
      <c r="AF14" s="9" t="s">
        <v>493</v>
      </c>
      <c r="AG14" s="10"/>
    </row>
    <row r="15" spans="1:33" ht="13.2" x14ac:dyDescent="0.25">
      <c r="A15" s="7" t="s">
        <v>44</v>
      </c>
      <c r="B15" s="5"/>
      <c r="C15" s="5"/>
      <c r="D15" s="5"/>
      <c r="E15" s="5"/>
      <c r="F15" s="5">
        <v>1140</v>
      </c>
      <c r="G15" s="5"/>
      <c r="H15" s="5"/>
      <c r="I15" s="5"/>
      <c r="J15" s="5">
        <v>16</v>
      </c>
      <c r="K15" s="5"/>
      <c r="L15" s="5"/>
      <c r="M15" s="5">
        <v>470</v>
      </c>
      <c r="N15" s="5"/>
      <c r="O15" s="5"/>
      <c r="P15" s="5"/>
      <c r="Q15" s="5">
        <v>100</v>
      </c>
      <c r="R15" s="5"/>
      <c r="S15" s="5"/>
      <c r="T15" s="5"/>
      <c r="U15" s="5">
        <v>410</v>
      </c>
      <c r="V15" s="5"/>
      <c r="W15" s="5">
        <v>70</v>
      </c>
      <c r="X15" s="5"/>
      <c r="Y15" s="5"/>
      <c r="Z15" s="5">
        <v>113</v>
      </c>
      <c r="AA15" s="5"/>
      <c r="AB15" s="5"/>
      <c r="AC15" s="5"/>
      <c r="AD15" s="5"/>
      <c r="AE15" s="5"/>
      <c r="AF15" s="5"/>
      <c r="AG15" s="6">
        <f>SUM(B15:AF15)</f>
        <v>2319</v>
      </c>
    </row>
    <row r="16" spans="1:33" ht="17.25" customHeight="1" x14ac:dyDescent="0.25">
      <c r="A16" s="8" t="s">
        <v>5</v>
      </c>
      <c r="B16" s="9"/>
      <c r="C16" s="9"/>
      <c r="D16" s="9"/>
      <c r="E16" s="9"/>
      <c r="F16" s="9" t="s">
        <v>494</v>
      </c>
      <c r="G16" s="9"/>
      <c r="H16" s="9"/>
      <c r="I16" s="9"/>
      <c r="J16" s="9" t="s">
        <v>495</v>
      </c>
      <c r="K16" s="9"/>
      <c r="L16" s="9"/>
      <c r="M16" s="9" t="s">
        <v>496</v>
      </c>
      <c r="N16" s="9"/>
      <c r="O16" s="9"/>
      <c r="P16" s="9"/>
      <c r="Q16" s="9" t="s">
        <v>497</v>
      </c>
      <c r="R16" s="9"/>
      <c r="S16" s="9"/>
      <c r="T16" s="9"/>
      <c r="U16" s="9" t="s">
        <v>26</v>
      </c>
      <c r="V16" s="9"/>
      <c r="W16" s="9" t="s">
        <v>417</v>
      </c>
      <c r="X16" s="9"/>
      <c r="Y16" s="9"/>
      <c r="Z16" s="9" t="s">
        <v>498</v>
      </c>
      <c r="AA16" s="9"/>
      <c r="AB16" s="9"/>
      <c r="AC16" s="9"/>
      <c r="AD16" s="9"/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230</v>
      </c>
      <c r="V17" s="5"/>
      <c r="W17" s="5">
        <v>22</v>
      </c>
      <c r="X17" s="5"/>
      <c r="Y17" s="5"/>
      <c r="Z17" s="5"/>
      <c r="AA17" s="5"/>
      <c r="AB17" s="5"/>
      <c r="AC17" s="5"/>
      <c r="AD17" s="5"/>
      <c r="AE17" s="5"/>
      <c r="AF17" s="5"/>
      <c r="AG17" s="6">
        <f>SUM(B17:AF17)</f>
        <v>252</v>
      </c>
    </row>
    <row r="18" spans="1:33" ht="39.6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 t="s">
        <v>499</v>
      </c>
      <c r="V18" s="9"/>
      <c r="W18" s="9" t="s">
        <v>500</v>
      </c>
      <c r="X18" s="9"/>
      <c r="Y18" s="9"/>
      <c r="Z18" s="9"/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v>80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80</v>
      </c>
    </row>
    <row r="24" spans="1:33" ht="13.2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s">
        <v>175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 t="shared" ref="B26:AG26" si="0">SUM(B5+B7+B9+B11+B13+B15+B17+B19+B21+B23)</f>
        <v>100</v>
      </c>
      <c r="C26" s="13">
        <f t="shared" si="0"/>
        <v>866</v>
      </c>
      <c r="D26" s="13">
        <f t="shared" si="0"/>
        <v>324</v>
      </c>
      <c r="E26" s="13">
        <f t="shared" si="0"/>
        <v>366</v>
      </c>
      <c r="F26" s="13">
        <f t="shared" si="0"/>
        <v>1654</v>
      </c>
      <c r="G26" s="13">
        <f t="shared" si="0"/>
        <v>223</v>
      </c>
      <c r="H26" s="13">
        <f t="shared" si="0"/>
        <v>139</v>
      </c>
      <c r="I26" s="13">
        <f t="shared" si="0"/>
        <v>185</v>
      </c>
      <c r="J26" s="13">
        <f t="shared" si="0"/>
        <v>1320</v>
      </c>
      <c r="K26" s="13">
        <f t="shared" si="0"/>
        <v>330</v>
      </c>
      <c r="L26" s="13">
        <f t="shared" si="0"/>
        <v>5</v>
      </c>
      <c r="M26" s="13">
        <f t="shared" si="0"/>
        <v>670</v>
      </c>
      <c r="N26" s="13">
        <f t="shared" si="0"/>
        <v>375</v>
      </c>
      <c r="O26" s="13">
        <f t="shared" si="0"/>
        <v>650</v>
      </c>
      <c r="P26" s="13">
        <f t="shared" si="0"/>
        <v>87</v>
      </c>
      <c r="Q26" s="13">
        <f t="shared" si="0"/>
        <v>418</v>
      </c>
      <c r="R26" s="13">
        <f t="shared" si="0"/>
        <v>210</v>
      </c>
      <c r="S26" s="14">
        <f t="shared" si="0"/>
        <v>260</v>
      </c>
      <c r="T26" s="13">
        <f t="shared" si="0"/>
        <v>49</v>
      </c>
      <c r="U26" s="13">
        <f t="shared" si="0"/>
        <v>871</v>
      </c>
      <c r="V26" s="13">
        <f t="shared" si="0"/>
        <v>285</v>
      </c>
      <c r="W26" s="13">
        <f t="shared" si="0"/>
        <v>10202</v>
      </c>
      <c r="X26" s="13">
        <f t="shared" si="0"/>
        <v>60</v>
      </c>
      <c r="Y26" s="13">
        <f t="shared" si="0"/>
        <v>125</v>
      </c>
      <c r="Z26" s="13">
        <f t="shared" si="0"/>
        <v>113</v>
      </c>
      <c r="AA26" s="13">
        <f t="shared" si="0"/>
        <v>20</v>
      </c>
      <c r="AB26" s="13">
        <f>SUM(AB5+AB7+AB9+AB11+AB13+AB15+AB17+AB19+AB21+AB23)</f>
        <v>0</v>
      </c>
      <c r="AC26" s="13">
        <f t="shared" si="0"/>
        <v>175</v>
      </c>
      <c r="AD26" s="13">
        <f t="shared" si="0"/>
        <v>153</v>
      </c>
      <c r="AE26" s="13">
        <f>SUM(AE5+AE7+AE9+AE11+AE13+AE15+AE17+AE19+AE21+AE23)</f>
        <v>135</v>
      </c>
      <c r="AF26" s="13">
        <f t="shared" si="0"/>
        <v>2540</v>
      </c>
      <c r="AG26" s="15">
        <f t="shared" si="0"/>
        <v>22910</v>
      </c>
    </row>
  </sheetData>
  <mergeCells count="2">
    <mergeCell ref="A1:A2"/>
    <mergeCell ref="B1:AG2"/>
  </mergeCells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8897-61E7-4EAA-925E-CE0C515FE6D5}">
  <sheetPr>
    <outlinePr summaryBelow="0" summaryRight="0"/>
  </sheetPr>
  <dimension ref="A1:AG26"/>
  <sheetViews>
    <sheetView showGridLines="0" zoomScale="82" workbookViewId="0">
      <pane xSplit="1" ySplit="3" topLeftCell="AF4" activePane="bottomRight" state="frozen"/>
      <selection pane="topRight" activeCell="B1" sqref="B1"/>
      <selection pane="bottomLeft" activeCell="A4" sqref="A4"/>
      <selection pane="bottomRight" activeCell="AD10" sqref="AD10"/>
    </sheetView>
  </sheetViews>
  <sheetFormatPr defaultColWidth="12.5546875" defaultRowHeight="15.75" customHeight="1" x14ac:dyDescent="0.25"/>
  <cols>
    <col min="1" max="1" width="27.6640625" customWidth="1"/>
    <col min="2" max="2" width="10.441406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7.554687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>
        <v>650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>
        <v>49</v>
      </c>
      <c r="Y5" s="5"/>
      <c r="Z5" s="5"/>
      <c r="AA5" s="5"/>
      <c r="AB5" s="5">
        <v>10000</v>
      </c>
      <c r="AC5" s="5">
        <v>580</v>
      </c>
      <c r="AD5" s="5"/>
      <c r="AE5" s="5"/>
      <c r="AF5" s="5"/>
      <c r="AG5" s="6">
        <f>SUM(B5:AF5)</f>
        <v>11279</v>
      </c>
    </row>
    <row r="6" spans="1:33" ht="13.2" x14ac:dyDescent="0.25">
      <c r="A6" s="8" t="s">
        <v>5</v>
      </c>
      <c r="B6" s="9" t="s">
        <v>145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 t="s">
        <v>195</v>
      </c>
      <c r="Y6" s="9"/>
      <c r="Z6" s="9"/>
      <c r="AA6" s="9"/>
      <c r="AB6" s="9" t="s">
        <v>501</v>
      </c>
      <c r="AC6" s="9" t="s">
        <v>109</v>
      </c>
      <c r="AD6" s="9"/>
      <c r="AE6" s="9"/>
      <c r="AF6" s="9"/>
      <c r="AG6" s="10"/>
    </row>
    <row r="7" spans="1:33" ht="26.4" x14ac:dyDescent="0.25">
      <c r="A7" s="7" t="s">
        <v>15</v>
      </c>
      <c r="B7" s="5">
        <v>3600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3600</v>
      </c>
    </row>
    <row r="8" spans="1:33" ht="26.4" x14ac:dyDescent="0.25">
      <c r="A8" s="8" t="s">
        <v>5</v>
      </c>
      <c r="B8" s="9" t="s">
        <v>502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>
        <v>200</v>
      </c>
      <c r="C9" s="5"/>
      <c r="D9" s="5">
        <v>171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250</v>
      </c>
      <c r="W9" s="5"/>
      <c r="X9" s="5"/>
      <c r="Y9" s="5"/>
      <c r="Z9" s="5">
        <v>200</v>
      </c>
      <c r="AA9" s="5"/>
      <c r="AB9" s="5">
        <v>370</v>
      </c>
      <c r="AC9" s="5"/>
      <c r="AD9" s="5"/>
      <c r="AE9" s="5"/>
      <c r="AF9" s="5"/>
      <c r="AG9" s="6">
        <f>SUM(B9:AF9)</f>
        <v>1191</v>
      </c>
    </row>
    <row r="10" spans="1:33" ht="33.75" customHeight="1" x14ac:dyDescent="0.25">
      <c r="A10" s="8" t="s">
        <v>5</v>
      </c>
      <c r="B10" s="9" t="s">
        <v>17</v>
      </c>
      <c r="C10" s="9"/>
      <c r="D10" s="9" t="s">
        <v>376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 t="s">
        <v>503</v>
      </c>
      <c r="W10" s="9"/>
      <c r="X10" s="9"/>
      <c r="Y10" s="9"/>
      <c r="Z10" s="9" t="s">
        <v>17</v>
      </c>
      <c r="AA10" s="9"/>
      <c r="AB10" s="9" t="s">
        <v>504</v>
      </c>
      <c r="AC10" s="9"/>
      <c r="AD10" s="9"/>
      <c r="AE10" s="9"/>
      <c r="AF10" s="9"/>
      <c r="AG10" s="10"/>
    </row>
    <row r="11" spans="1:33" ht="13.2" x14ac:dyDescent="0.25">
      <c r="A11" s="7" t="s">
        <v>21</v>
      </c>
      <c r="B11" s="5">
        <v>67</v>
      </c>
      <c r="C11" s="5">
        <v>86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60</v>
      </c>
      <c r="Q11" s="5"/>
      <c r="R11" s="5"/>
      <c r="S11" s="5"/>
      <c r="T11" s="5"/>
      <c r="U11" s="5"/>
      <c r="V11" s="5"/>
      <c r="W11" s="5">
        <v>33</v>
      </c>
      <c r="X11" s="5"/>
      <c r="Y11" s="5"/>
      <c r="Z11" s="5"/>
      <c r="AA11" s="5">
        <v>190</v>
      </c>
      <c r="AB11" s="5"/>
      <c r="AC11" s="5"/>
      <c r="AD11" s="5"/>
      <c r="AE11" s="5"/>
      <c r="AF11" s="5"/>
      <c r="AG11" s="6">
        <f>SUM(B11:AF11)</f>
        <v>436</v>
      </c>
    </row>
    <row r="12" spans="1:33" ht="42" customHeight="1" x14ac:dyDescent="0.25">
      <c r="A12" s="8" t="s">
        <v>5</v>
      </c>
      <c r="B12" s="9" t="s">
        <v>505</v>
      </c>
      <c r="C12" s="9" t="s">
        <v>506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 t="s">
        <v>507</v>
      </c>
      <c r="Q12" s="9"/>
      <c r="R12" s="9"/>
      <c r="S12" s="9"/>
      <c r="T12" s="9"/>
      <c r="U12" s="9"/>
      <c r="V12" s="9"/>
      <c r="W12" s="9" t="s">
        <v>152</v>
      </c>
      <c r="X12" s="9"/>
      <c r="Y12" s="9"/>
      <c r="Z12" s="9"/>
      <c r="AA12" s="9" t="s">
        <v>508</v>
      </c>
      <c r="AB12" s="9"/>
      <c r="AC12" s="9"/>
      <c r="AD12" s="9"/>
      <c r="AE12" s="9"/>
      <c r="AF12" s="9"/>
      <c r="AG12" s="10"/>
    </row>
    <row r="13" spans="1:33" ht="13.2" x14ac:dyDescent="0.25">
      <c r="A13" s="7" t="s">
        <v>24</v>
      </c>
      <c r="B13" s="5"/>
      <c r="C13" s="5" t="s">
        <v>378</v>
      </c>
      <c r="D13" s="5">
        <v>25</v>
      </c>
      <c r="E13" s="5"/>
      <c r="F13" s="5">
        <v>65</v>
      </c>
      <c r="G13" s="5">
        <v>256</v>
      </c>
      <c r="H13" s="5">
        <v>30</v>
      </c>
      <c r="I13" s="5">
        <v>105</v>
      </c>
      <c r="J13" s="5">
        <v>30</v>
      </c>
      <c r="K13" s="5">
        <v>70</v>
      </c>
      <c r="L13" s="5">
        <v>50</v>
      </c>
      <c r="M13" s="5">
        <v>50</v>
      </c>
      <c r="N13" s="5">
        <v>60</v>
      </c>
      <c r="O13" s="5">
        <v>84</v>
      </c>
      <c r="P13" s="5"/>
      <c r="Q13" s="5">
        <v>128</v>
      </c>
      <c r="R13" s="5">
        <v>70</v>
      </c>
      <c r="S13" s="5">
        <v>35</v>
      </c>
      <c r="T13" s="5">
        <v>50</v>
      </c>
      <c r="U13" s="5">
        <v>268</v>
      </c>
      <c r="V13" s="5">
        <v>55</v>
      </c>
      <c r="W13" s="5">
        <v>200</v>
      </c>
      <c r="X13" s="5">
        <v>50</v>
      </c>
      <c r="Y13" s="5">
        <v>50</v>
      </c>
      <c r="Z13" s="5">
        <v>150</v>
      </c>
      <c r="AA13" s="5"/>
      <c r="AB13" s="5"/>
      <c r="AC13" s="5"/>
      <c r="AD13" s="5"/>
      <c r="AE13" s="5"/>
      <c r="AF13" s="5"/>
      <c r="AG13" s="6">
        <f>SUM(B13:AF13)</f>
        <v>1881</v>
      </c>
    </row>
    <row r="14" spans="1:33" ht="58.5" customHeight="1" x14ac:dyDescent="0.25">
      <c r="A14" s="8" t="s">
        <v>5</v>
      </c>
      <c r="B14" s="9"/>
      <c r="C14" s="9"/>
      <c r="D14" s="9" t="s">
        <v>509</v>
      </c>
      <c r="E14" s="9"/>
      <c r="F14" s="9" t="s">
        <v>26</v>
      </c>
      <c r="G14" s="9" t="s">
        <v>510</v>
      </c>
      <c r="H14" s="9" t="s">
        <v>511</v>
      </c>
      <c r="I14" s="9" t="s">
        <v>512</v>
      </c>
      <c r="J14" s="9" t="s">
        <v>39</v>
      </c>
      <c r="K14" s="9" t="s">
        <v>513</v>
      </c>
      <c r="L14" s="9" t="s">
        <v>514</v>
      </c>
      <c r="M14" s="9" t="s">
        <v>515</v>
      </c>
      <c r="N14" s="9" t="s">
        <v>516</v>
      </c>
      <c r="O14" s="9" t="s">
        <v>517</v>
      </c>
      <c r="P14" s="9"/>
      <c r="Q14" s="9" t="s">
        <v>518</v>
      </c>
      <c r="R14" s="9" t="s">
        <v>519</v>
      </c>
      <c r="S14" s="9" t="s">
        <v>520</v>
      </c>
      <c r="T14" s="9" t="s">
        <v>521</v>
      </c>
      <c r="U14" s="9" t="s">
        <v>522</v>
      </c>
      <c r="V14" s="9" t="s">
        <v>523</v>
      </c>
      <c r="W14" s="9" t="s">
        <v>524</v>
      </c>
      <c r="X14" s="9" t="s">
        <v>436</v>
      </c>
      <c r="Y14" s="9" t="s">
        <v>525</v>
      </c>
      <c r="Z14" s="9" t="s">
        <v>526</v>
      </c>
      <c r="AA14" s="9"/>
      <c r="AB14" s="9"/>
      <c r="AC14" s="9"/>
      <c r="AD14" s="9"/>
      <c r="AE14" s="9"/>
      <c r="AF14" s="9"/>
      <c r="AG14" s="10"/>
    </row>
    <row r="15" spans="1:33" ht="13.2" x14ac:dyDescent="0.25">
      <c r="A15" s="7" t="s">
        <v>44</v>
      </c>
      <c r="B15" s="5"/>
      <c r="C15" s="5">
        <v>260</v>
      </c>
      <c r="D15" s="5"/>
      <c r="E15" s="5"/>
      <c r="F15" s="5"/>
      <c r="G15" s="5"/>
      <c r="H15" s="5"/>
      <c r="I15" s="5">
        <v>10</v>
      </c>
      <c r="J15" s="5">
        <v>20</v>
      </c>
      <c r="K15" s="5"/>
      <c r="L15" s="5"/>
      <c r="M15" s="5">
        <v>70</v>
      </c>
      <c r="N15" s="5"/>
      <c r="O15" s="5"/>
      <c r="P15" s="5"/>
      <c r="Q15" s="5">
        <v>20</v>
      </c>
      <c r="R15" s="5"/>
      <c r="S15" s="5"/>
      <c r="T15" s="5"/>
      <c r="U15" s="5">
        <v>114</v>
      </c>
      <c r="V15" s="5"/>
      <c r="W15" s="5"/>
      <c r="X15" s="5"/>
      <c r="Y15" s="5">
        <v>100</v>
      </c>
      <c r="Z15" s="5"/>
      <c r="AA15" s="5">
        <v>230</v>
      </c>
      <c r="AB15" s="5"/>
      <c r="AC15" s="5"/>
      <c r="AD15" s="5"/>
      <c r="AE15" s="5"/>
      <c r="AF15" s="5"/>
      <c r="AG15" s="6">
        <f>SUM(B15:AF15)</f>
        <v>824</v>
      </c>
    </row>
    <row r="16" spans="1:33" ht="17.25" customHeight="1" x14ac:dyDescent="0.25">
      <c r="A16" s="8" t="s">
        <v>5</v>
      </c>
      <c r="B16" s="9"/>
      <c r="C16" s="9" t="s">
        <v>527</v>
      </c>
      <c r="D16" s="9"/>
      <c r="E16" s="9"/>
      <c r="F16" s="9"/>
      <c r="G16" s="9"/>
      <c r="H16" s="9"/>
      <c r="I16" s="9" t="s">
        <v>71</v>
      </c>
      <c r="J16" s="9" t="s">
        <v>528</v>
      </c>
      <c r="K16" s="9"/>
      <c r="L16" s="9"/>
      <c r="M16" s="9" t="s">
        <v>529</v>
      </c>
      <c r="N16" s="9"/>
      <c r="O16" s="9"/>
      <c r="P16" s="9"/>
      <c r="Q16" s="9" t="s">
        <v>530</v>
      </c>
      <c r="R16" s="9"/>
      <c r="S16" s="9"/>
      <c r="T16" s="9"/>
      <c r="U16" s="9" t="s">
        <v>531</v>
      </c>
      <c r="V16" s="9"/>
      <c r="W16" s="9"/>
      <c r="X16" s="9"/>
      <c r="Y16" s="9" t="s">
        <v>532</v>
      </c>
      <c r="Z16" s="9"/>
      <c r="AA16" s="9" t="s">
        <v>533</v>
      </c>
      <c r="AB16" s="9"/>
      <c r="AC16" s="9"/>
      <c r="AD16" s="9"/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20</v>
      </c>
      <c r="V17" s="5"/>
      <c r="W17" s="5"/>
      <c r="X17" s="5"/>
      <c r="Y17" s="5"/>
      <c r="Z17" s="5"/>
      <c r="AA17" s="5"/>
      <c r="AB17" s="5"/>
      <c r="AC17" s="5">
        <v>1400</v>
      </c>
      <c r="AD17" s="5"/>
      <c r="AE17" s="5"/>
      <c r="AF17" s="5"/>
      <c r="AG17" s="6">
        <f>SUM(B17:AF17)</f>
        <v>1420</v>
      </c>
    </row>
    <row r="18" spans="1:33" ht="13.2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 t="s">
        <v>93</v>
      </c>
      <c r="V18" s="9"/>
      <c r="W18" s="9"/>
      <c r="X18" s="9"/>
      <c r="Y18" s="9"/>
      <c r="Z18" s="9"/>
      <c r="AA18" s="9"/>
      <c r="AB18" s="9"/>
      <c r="AC18" s="9" t="s">
        <v>172</v>
      </c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>
        <v>1000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1000</v>
      </c>
    </row>
    <row r="22" spans="1:33" ht="13.2" x14ac:dyDescent="0.25">
      <c r="A22" s="8" t="s">
        <v>5</v>
      </c>
      <c r="B22" s="9"/>
      <c r="C22" s="9"/>
      <c r="D22" s="9"/>
      <c r="E22" s="9" t="s">
        <v>534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>
        <v>50</v>
      </c>
      <c r="C23" s="5"/>
      <c r="D23" s="5">
        <v>24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80</v>
      </c>
      <c r="Z23" s="5"/>
      <c r="AA23" s="5"/>
      <c r="AB23" s="5"/>
      <c r="AC23" s="5"/>
      <c r="AD23" s="5"/>
      <c r="AE23" s="5"/>
      <c r="AF23" s="5"/>
      <c r="AG23" s="6">
        <f>SUM(B23:AF23)</f>
        <v>154</v>
      </c>
    </row>
    <row r="24" spans="1:33" ht="13.2" x14ac:dyDescent="0.25">
      <c r="A24" s="8" t="s">
        <v>5</v>
      </c>
      <c r="B24" s="9" t="s">
        <v>535</v>
      </c>
      <c r="C24" s="9"/>
      <c r="D24" s="9" t="s">
        <v>536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 t="s">
        <v>366</v>
      </c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 t="shared" ref="B26:AG26" si="0">SUM(B5+B7+B9+B11+B13+B15+B17+B19+B21+B23)</f>
        <v>4567</v>
      </c>
      <c r="C26" s="13">
        <v>346</v>
      </c>
      <c r="D26" s="13">
        <f t="shared" si="0"/>
        <v>220</v>
      </c>
      <c r="E26" s="13">
        <f t="shared" si="0"/>
        <v>1000</v>
      </c>
      <c r="F26" s="13">
        <f t="shared" si="0"/>
        <v>65</v>
      </c>
      <c r="G26" s="13">
        <f t="shared" si="0"/>
        <v>256</v>
      </c>
      <c r="H26" s="13">
        <f t="shared" si="0"/>
        <v>30</v>
      </c>
      <c r="I26" s="13">
        <f t="shared" si="0"/>
        <v>115</v>
      </c>
      <c r="J26" s="13">
        <f t="shared" si="0"/>
        <v>50</v>
      </c>
      <c r="K26" s="13">
        <f t="shared" si="0"/>
        <v>70</v>
      </c>
      <c r="L26" s="13">
        <f t="shared" si="0"/>
        <v>50</v>
      </c>
      <c r="M26" s="13">
        <f t="shared" si="0"/>
        <v>120</v>
      </c>
      <c r="N26" s="13">
        <f t="shared" si="0"/>
        <v>60</v>
      </c>
      <c r="O26" s="13">
        <f t="shared" si="0"/>
        <v>84</v>
      </c>
      <c r="P26" s="13">
        <f t="shared" si="0"/>
        <v>60</v>
      </c>
      <c r="Q26" s="13">
        <f t="shared" si="0"/>
        <v>148</v>
      </c>
      <c r="R26" s="13">
        <f t="shared" si="0"/>
        <v>70</v>
      </c>
      <c r="S26" s="14">
        <f t="shared" si="0"/>
        <v>35</v>
      </c>
      <c r="T26" s="13">
        <f t="shared" si="0"/>
        <v>50</v>
      </c>
      <c r="U26" s="13">
        <f t="shared" si="0"/>
        <v>402</v>
      </c>
      <c r="V26" s="13">
        <f t="shared" si="0"/>
        <v>305</v>
      </c>
      <c r="W26" s="13">
        <f t="shared" si="0"/>
        <v>233</v>
      </c>
      <c r="X26" s="13">
        <f t="shared" si="0"/>
        <v>99</v>
      </c>
      <c r="Y26" s="13">
        <f t="shared" si="0"/>
        <v>230</v>
      </c>
      <c r="Z26" s="13">
        <f t="shared" si="0"/>
        <v>350</v>
      </c>
      <c r="AA26" s="13">
        <f t="shared" si="0"/>
        <v>420</v>
      </c>
      <c r="AB26" s="13">
        <f>SUM(AB5+AB7+AB9+AB11+AB13+AB15+AB17+AB19+AB21+AB23)</f>
        <v>10370</v>
      </c>
      <c r="AC26" s="13">
        <f t="shared" si="0"/>
        <v>1980</v>
      </c>
      <c r="AD26" s="13">
        <f t="shared" si="0"/>
        <v>0</v>
      </c>
      <c r="AE26" s="13">
        <f>SUM(AE5+AE7+AE9+AE11+AE13+AE15+AE17+AE19+AE21+AE23)</f>
        <v>0</v>
      </c>
      <c r="AF26" s="13">
        <f t="shared" si="0"/>
        <v>0</v>
      </c>
      <c r="AG26" s="15">
        <f t="shared" si="0"/>
        <v>21785</v>
      </c>
    </row>
  </sheetData>
  <mergeCells count="2">
    <mergeCell ref="A1:A2"/>
    <mergeCell ref="B1:AG2"/>
  </mergeCells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7EFD-846E-4605-89ED-5A68945D2662}">
  <sheetPr>
    <outlinePr summaryBelow="0" summaryRight="0"/>
  </sheetPr>
  <dimension ref="A1:AG26"/>
  <sheetViews>
    <sheetView showGridLines="0" zoomScale="68" workbookViewId="0">
      <pane xSplit="1" ySplit="3" topLeftCell="AF4" activePane="bottomRight" state="frozen"/>
      <selection pane="topRight" activeCell="B1" sqref="B1"/>
      <selection pane="bottomLeft" activeCell="A4" sqref="A4"/>
      <selection pane="bottomRight" activeCell="AI14" sqref="AI14"/>
    </sheetView>
  </sheetViews>
  <sheetFormatPr defaultColWidth="12.5546875" defaultRowHeight="15.75" customHeight="1" x14ac:dyDescent="0.25"/>
  <cols>
    <col min="1" max="1" width="27.6640625" customWidth="1"/>
    <col min="2" max="2" width="10.441406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7.554687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>
        <v>300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10000</v>
      </c>
      <c r="AC5" s="5"/>
      <c r="AD5" s="5"/>
      <c r="AE5" s="5"/>
      <c r="AF5" s="5"/>
      <c r="AG5" s="6">
        <f>SUM(B5:AF5)</f>
        <v>10300</v>
      </c>
    </row>
    <row r="6" spans="1:33" ht="13.2" x14ac:dyDescent="0.25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 t="s">
        <v>537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 t="s">
        <v>538</v>
      </c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150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100</v>
      </c>
      <c r="AG7" s="6">
        <f>SUM(B7:AF7)</f>
        <v>250</v>
      </c>
    </row>
    <row r="8" spans="1:33" ht="26.4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 t="s">
        <v>539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 t="s">
        <v>540</v>
      </c>
      <c r="AG8" s="10"/>
    </row>
    <row r="9" spans="1:33" ht="13.2" x14ac:dyDescent="0.25">
      <c r="A9" s="7" t="s">
        <v>16</v>
      </c>
      <c r="B9" s="5"/>
      <c r="C9" s="5"/>
      <c r="D9" s="5"/>
      <c r="E9" s="5"/>
      <c r="F9" s="5"/>
      <c r="G9" s="5"/>
      <c r="H9" s="5"/>
      <c r="I9" s="5">
        <v>536</v>
      </c>
      <c r="J9" s="5"/>
      <c r="K9" s="5"/>
      <c r="L9" s="5"/>
      <c r="M9" s="5"/>
      <c r="N9" s="5"/>
      <c r="O9" s="5"/>
      <c r="P9" s="5"/>
      <c r="Q9" s="5"/>
      <c r="R9" s="5"/>
      <c r="S9" s="5"/>
      <c r="T9" s="5">
        <v>550</v>
      </c>
      <c r="U9" s="5"/>
      <c r="V9" s="5"/>
      <c r="W9" s="5">
        <v>150</v>
      </c>
      <c r="X9" s="5"/>
      <c r="Y9" s="5">
        <v>200</v>
      </c>
      <c r="Z9" s="5"/>
      <c r="AA9" s="5"/>
      <c r="AB9" s="5"/>
      <c r="AC9" s="5">
        <v>310</v>
      </c>
      <c r="AD9" s="5">
        <v>200</v>
      </c>
      <c r="AE9" s="5">
        <v>200</v>
      </c>
      <c r="AF9" s="5"/>
      <c r="AG9" s="6">
        <f>SUM(B9:AF9)</f>
        <v>2146</v>
      </c>
    </row>
    <row r="10" spans="1:33" ht="33.75" customHeight="1" x14ac:dyDescent="0.25">
      <c r="A10" s="8" t="s">
        <v>5</v>
      </c>
      <c r="B10" s="9"/>
      <c r="C10" s="9"/>
      <c r="D10" s="9"/>
      <c r="E10" s="9"/>
      <c r="F10" s="9"/>
      <c r="G10" s="9"/>
      <c r="H10" s="9"/>
      <c r="I10" s="9" t="s">
        <v>541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 t="s">
        <v>542</v>
      </c>
      <c r="U10" s="9"/>
      <c r="V10" s="9"/>
      <c r="W10" s="9" t="s">
        <v>18</v>
      </c>
      <c r="X10" s="9"/>
      <c r="Y10" s="9" t="s">
        <v>543</v>
      </c>
      <c r="Z10" s="9"/>
      <c r="AA10" s="9"/>
      <c r="AB10" s="9"/>
      <c r="AC10" s="9" t="s">
        <v>544</v>
      </c>
      <c r="AD10" s="9" t="s">
        <v>17</v>
      </c>
      <c r="AE10" s="9" t="s">
        <v>17</v>
      </c>
      <c r="AF10" s="9"/>
      <c r="AG10" s="10"/>
    </row>
    <row r="11" spans="1:33" ht="13.2" x14ac:dyDescent="0.25">
      <c r="A11" s="7" t="s">
        <v>21</v>
      </c>
      <c r="B11" s="5"/>
      <c r="C11" s="5"/>
      <c r="D11" s="5"/>
      <c r="E11" s="5">
        <v>10</v>
      </c>
      <c r="F11" s="5"/>
      <c r="G11" s="5"/>
      <c r="H11" s="5"/>
      <c r="I11" s="5"/>
      <c r="J11" s="5"/>
      <c r="K11" s="5">
        <v>200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168</v>
      </c>
      <c r="X11" s="5">
        <v>65</v>
      </c>
      <c r="Y11" s="5"/>
      <c r="Z11" s="5"/>
      <c r="AA11" s="5"/>
      <c r="AB11" s="5"/>
      <c r="AC11" s="5"/>
      <c r="AD11" s="5"/>
      <c r="AE11" s="5">
        <v>200</v>
      </c>
      <c r="AF11" s="5"/>
      <c r="AG11" s="6">
        <f>SUM(B11:AF11)</f>
        <v>643</v>
      </c>
    </row>
    <row r="12" spans="1:33" ht="42" customHeight="1" x14ac:dyDescent="0.25">
      <c r="A12" s="8" t="s">
        <v>5</v>
      </c>
      <c r="B12" s="9"/>
      <c r="C12" s="9"/>
      <c r="D12" s="9"/>
      <c r="E12" s="9" t="s">
        <v>71</v>
      </c>
      <c r="F12" s="9"/>
      <c r="G12" s="9"/>
      <c r="H12" s="9"/>
      <c r="I12" s="9"/>
      <c r="J12" s="9"/>
      <c r="K12" s="9" t="s">
        <v>545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 t="s">
        <v>506</v>
      </c>
      <c r="X12" s="9" t="s">
        <v>546</v>
      </c>
      <c r="Y12" s="9"/>
      <c r="Z12" s="9"/>
      <c r="AA12" s="9"/>
      <c r="AB12" s="9"/>
      <c r="AC12" s="9"/>
      <c r="AD12" s="9"/>
      <c r="AE12" s="9" t="s">
        <v>547</v>
      </c>
      <c r="AF12" s="9"/>
      <c r="AG12" s="10"/>
    </row>
    <row r="13" spans="1:33" ht="13.2" x14ac:dyDescent="0.25">
      <c r="A13" s="7" t="s">
        <v>24</v>
      </c>
      <c r="B13" s="5"/>
      <c r="C13" s="5"/>
      <c r="D13" s="5">
        <v>80</v>
      </c>
      <c r="E13" s="5">
        <v>180</v>
      </c>
      <c r="F13" s="5">
        <v>10</v>
      </c>
      <c r="G13" s="5">
        <v>10</v>
      </c>
      <c r="H13" s="5">
        <v>30</v>
      </c>
      <c r="I13" s="5">
        <v>20</v>
      </c>
      <c r="J13" s="5"/>
      <c r="K13" s="5"/>
      <c r="L13" s="5">
        <v>50</v>
      </c>
      <c r="M13" s="5">
        <v>45</v>
      </c>
      <c r="N13" s="5"/>
      <c r="O13" s="5"/>
      <c r="P13" s="5"/>
      <c r="Q13" s="5"/>
      <c r="R13" s="5"/>
      <c r="S13" s="5"/>
      <c r="T13" s="5">
        <v>30</v>
      </c>
      <c r="U13" s="5">
        <v>40</v>
      </c>
      <c r="V13" s="5">
        <v>150</v>
      </c>
      <c r="W13" s="5">
        <v>50</v>
      </c>
      <c r="X13" s="5">
        <v>100</v>
      </c>
      <c r="Y13" s="5">
        <v>100</v>
      </c>
      <c r="Z13" s="5">
        <v>110</v>
      </c>
      <c r="AA13" s="5">
        <v>70</v>
      </c>
      <c r="AB13" s="5">
        <v>20</v>
      </c>
      <c r="AC13" s="5">
        <v>60</v>
      </c>
      <c r="AD13" s="5"/>
      <c r="AE13" s="5">
        <v>120</v>
      </c>
      <c r="AF13" s="5"/>
      <c r="AG13" s="6">
        <f>SUM(B13:AF13)</f>
        <v>1275</v>
      </c>
    </row>
    <row r="14" spans="1:33" ht="58.5" customHeight="1" x14ac:dyDescent="0.25">
      <c r="A14" s="8" t="s">
        <v>5</v>
      </c>
      <c r="B14" s="9"/>
      <c r="C14" s="9"/>
      <c r="D14" s="9" t="s">
        <v>548</v>
      </c>
      <c r="E14" s="9" t="s">
        <v>549</v>
      </c>
      <c r="F14" s="9" t="s">
        <v>550</v>
      </c>
      <c r="G14" s="9" t="s">
        <v>551</v>
      </c>
      <c r="H14" s="9" t="s">
        <v>39</v>
      </c>
      <c r="I14" s="9" t="s">
        <v>552</v>
      </c>
      <c r="J14" s="9"/>
      <c r="K14" s="9"/>
      <c r="L14" s="9" t="s">
        <v>163</v>
      </c>
      <c r="M14" s="9" t="s">
        <v>166</v>
      </c>
      <c r="N14" s="9"/>
      <c r="O14" s="9"/>
      <c r="P14" s="9"/>
      <c r="Q14" s="9"/>
      <c r="R14" s="9"/>
      <c r="S14" s="9"/>
      <c r="T14" s="9" t="s">
        <v>553</v>
      </c>
      <c r="U14" s="9" t="s">
        <v>509</v>
      </c>
      <c r="V14" s="9" t="s">
        <v>26</v>
      </c>
      <c r="W14" s="9" t="s">
        <v>554</v>
      </c>
      <c r="X14" s="9" t="s">
        <v>555</v>
      </c>
      <c r="Y14" s="9" t="s">
        <v>556</v>
      </c>
      <c r="Z14" s="9" t="s">
        <v>557</v>
      </c>
      <c r="AA14" s="9" t="s">
        <v>558</v>
      </c>
      <c r="AB14" s="9" t="s">
        <v>93</v>
      </c>
      <c r="AC14" s="9" t="s">
        <v>26</v>
      </c>
      <c r="AD14" s="9"/>
      <c r="AE14" s="9" t="s">
        <v>559</v>
      </c>
      <c r="AF14" s="9"/>
      <c r="AG14" s="10"/>
    </row>
    <row r="15" spans="1:33" ht="13.2" x14ac:dyDescent="0.25">
      <c r="A15" s="7" t="s">
        <v>44</v>
      </c>
      <c r="B15" s="5"/>
      <c r="C15" s="5"/>
      <c r="D15" s="5"/>
      <c r="E15" s="5">
        <v>89</v>
      </c>
      <c r="F15" s="5"/>
      <c r="G15" s="5"/>
      <c r="H15" s="5"/>
      <c r="I15" s="5">
        <v>950</v>
      </c>
      <c r="J15" s="5"/>
      <c r="K15" s="5">
        <v>2350</v>
      </c>
      <c r="L15" s="5">
        <v>600</v>
      </c>
      <c r="M15" s="5"/>
      <c r="N15" s="5">
        <v>200</v>
      </c>
      <c r="O15" s="5"/>
      <c r="P15" s="5"/>
      <c r="Q15" s="5"/>
      <c r="R15" s="5"/>
      <c r="S15" s="5"/>
      <c r="T15" s="5"/>
      <c r="U15" s="5"/>
      <c r="V15" s="5"/>
      <c r="W15" s="5">
        <v>64</v>
      </c>
      <c r="X15" s="5">
        <v>30</v>
      </c>
      <c r="Y15" s="5">
        <v>15</v>
      </c>
      <c r="Z15" s="5"/>
      <c r="AA15" s="5"/>
      <c r="AB15" s="5"/>
      <c r="AC15" s="5"/>
      <c r="AD15" s="5"/>
      <c r="AE15" s="5"/>
      <c r="AF15" s="5">
        <v>106</v>
      </c>
      <c r="AG15" s="6">
        <f>SUM(B15:AF15)</f>
        <v>4404</v>
      </c>
    </row>
    <row r="16" spans="1:33" ht="17.25" customHeight="1" x14ac:dyDescent="0.25">
      <c r="A16" s="8" t="s">
        <v>5</v>
      </c>
      <c r="B16" s="9"/>
      <c r="C16" s="9"/>
      <c r="D16" s="9"/>
      <c r="E16" s="9">
        <v>0</v>
      </c>
      <c r="F16" s="9"/>
      <c r="G16" s="9"/>
      <c r="H16" s="9"/>
      <c r="I16" s="9" t="s">
        <v>560</v>
      </c>
      <c r="J16" s="9"/>
      <c r="K16" s="9" t="s">
        <v>561</v>
      </c>
      <c r="L16" s="9" t="s">
        <v>562</v>
      </c>
      <c r="M16" s="9"/>
      <c r="N16" s="9" t="s">
        <v>563</v>
      </c>
      <c r="O16" s="9"/>
      <c r="P16" s="9"/>
      <c r="Q16" s="9"/>
      <c r="R16" s="9"/>
      <c r="S16" s="9"/>
      <c r="T16" s="9"/>
      <c r="U16" s="9"/>
      <c r="V16" s="9"/>
      <c r="W16" s="9" t="s">
        <v>564</v>
      </c>
      <c r="X16" s="9" t="s">
        <v>308</v>
      </c>
      <c r="Y16" s="9" t="s">
        <v>565</v>
      </c>
      <c r="Z16" s="9"/>
      <c r="AA16" s="9"/>
      <c r="AB16" s="9"/>
      <c r="AC16" s="9"/>
      <c r="AD16" s="9"/>
      <c r="AE16" s="9"/>
      <c r="AF16" s="9" t="s">
        <v>566</v>
      </c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100</v>
      </c>
      <c r="X17" s="5">
        <v>250</v>
      </c>
      <c r="Y17" s="5"/>
      <c r="Z17" s="5"/>
      <c r="AA17" s="5"/>
      <c r="AB17" s="5"/>
      <c r="AC17" s="5"/>
      <c r="AD17" s="5">
        <v>1300</v>
      </c>
      <c r="AE17" s="5"/>
      <c r="AF17" s="5"/>
      <c r="AG17" s="6">
        <f>SUM(B17:AF17)</f>
        <v>1650</v>
      </c>
    </row>
    <row r="18" spans="1:33" ht="13.2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 t="s">
        <v>567</v>
      </c>
      <c r="X18" s="9" t="s">
        <v>568</v>
      </c>
      <c r="Y18" s="9"/>
      <c r="Z18" s="9"/>
      <c r="AA18" s="9"/>
      <c r="AB18" s="9"/>
      <c r="AC18" s="9"/>
      <c r="AD18" s="9" t="s">
        <v>228</v>
      </c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350</v>
      </c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350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 t="s">
        <v>569</v>
      </c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2500</v>
      </c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2500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 t="s">
        <v>364</v>
      </c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>
        <v>4150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4150</v>
      </c>
    </row>
    <row r="24" spans="1:33" ht="66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 t="s">
        <v>570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>SUM(B5+B7+B9+B11+B13+B15+B17+B19+B21+B23)</f>
        <v>0</v>
      </c>
      <c r="C26" s="13">
        <v>0</v>
      </c>
      <c r="D26" s="13">
        <f t="shared" ref="D26:AG26" si="0">SUM(D5+D7+D9+D11+D13+D15+D17+D19+D21+D23)</f>
        <v>80</v>
      </c>
      <c r="E26" s="13">
        <f t="shared" si="0"/>
        <v>279</v>
      </c>
      <c r="F26" s="13">
        <f t="shared" si="0"/>
        <v>10</v>
      </c>
      <c r="G26" s="13">
        <f t="shared" si="0"/>
        <v>10</v>
      </c>
      <c r="H26" s="13">
        <f t="shared" si="0"/>
        <v>30</v>
      </c>
      <c r="I26" s="13">
        <f t="shared" si="0"/>
        <v>5656</v>
      </c>
      <c r="J26" s="13">
        <f t="shared" si="0"/>
        <v>0</v>
      </c>
      <c r="K26" s="13">
        <f t="shared" si="0"/>
        <v>2850</v>
      </c>
      <c r="L26" s="13">
        <f t="shared" si="0"/>
        <v>650</v>
      </c>
      <c r="M26" s="13">
        <f t="shared" si="0"/>
        <v>195</v>
      </c>
      <c r="N26" s="13">
        <f t="shared" si="0"/>
        <v>200</v>
      </c>
      <c r="O26" s="13">
        <f t="shared" si="0"/>
        <v>0</v>
      </c>
      <c r="P26" s="13">
        <f t="shared" si="0"/>
        <v>0</v>
      </c>
      <c r="Q26" s="13">
        <f t="shared" si="0"/>
        <v>0</v>
      </c>
      <c r="R26" s="13">
        <f t="shared" si="0"/>
        <v>0</v>
      </c>
      <c r="S26" s="14">
        <f t="shared" si="0"/>
        <v>0</v>
      </c>
      <c r="T26" s="13">
        <f t="shared" si="0"/>
        <v>580</v>
      </c>
      <c r="U26" s="13">
        <f t="shared" si="0"/>
        <v>40</v>
      </c>
      <c r="V26" s="13">
        <f t="shared" si="0"/>
        <v>150</v>
      </c>
      <c r="W26" s="13">
        <f t="shared" si="0"/>
        <v>3382</v>
      </c>
      <c r="X26" s="13">
        <f t="shared" si="0"/>
        <v>445</v>
      </c>
      <c r="Y26" s="13">
        <f t="shared" si="0"/>
        <v>315</v>
      </c>
      <c r="Z26" s="13">
        <f t="shared" si="0"/>
        <v>110</v>
      </c>
      <c r="AA26" s="13">
        <f t="shared" si="0"/>
        <v>70</v>
      </c>
      <c r="AB26" s="13">
        <f t="shared" si="0"/>
        <v>10020</v>
      </c>
      <c r="AC26" s="13">
        <f t="shared" si="0"/>
        <v>370</v>
      </c>
      <c r="AD26" s="13">
        <f t="shared" si="0"/>
        <v>1500</v>
      </c>
      <c r="AE26" s="13">
        <f t="shared" si="0"/>
        <v>520</v>
      </c>
      <c r="AF26" s="13">
        <f t="shared" si="0"/>
        <v>206</v>
      </c>
      <c r="AG26" s="15">
        <f t="shared" si="0"/>
        <v>27668</v>
      </c>
    </row>
  </sheetData>
  <mergeCells count="2">
    <mergeCell ref="A1:A2"/>
    <mergeCell ref="B1:AG2"/>
  </mergeCells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4354-9B55-481C-98DF-57FE546E515A}">
  <sheetPr>
    <outlinePr summaryBelow="0" summaryRight="0"/>
  </sheetPr>
  <dimension ref="A1:AG26"/>
  <sheetViews>
    <sheetView showGridLines="0" zoomScale="68" workbookViewId="0">
      <pane xSplit="1" ySplit="3" topLeftCell="AE4" activePane="bottomRight" state="frozen"/>
      <selection pane="topRight" activeCell="B1" sqref="B1"/>
      <selection pane="bottomLeft" activeCell="A4" sqref="A4"/>
      <selection pane="bottomRight" activeCell="N15" sqref="N15"/>
    </sheetView>
  </sheetViews>
  <sheetFormatPr defaultColWidth="12.5546875" defaultRowHeight="15.75" customHeight="1" x14ac:dyDescent="0.25"/>
  <cols>
    <col min="1" max="1" width="27.6640625" customWidth="1"/>
    <col min="2" max="2" width="10.441406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11.3320312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>
        <v>11</v>
      </c>
      <c r="C5" s="5"/>
      <c r="D5" s="5">
        <v>30</v>
      </c>
      <c r="E5" s="5"/>
      <c r="F5" s="5">
        <v>50</v>
      </c>
      <c r="G5" s="5"/>
      <c r="H5" s="5"/>
      <c r="I5" s="5"/>
      <c r="J5" s="5">
        <v>300</v>
      </c>
      <c r="K5" s="5"/>
      <c r="L5" s="5"/>
      <c r="M5" s="5">
        <v>1850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>
        <f>SUM(B5:AF5)</f>
        <v>2241</v>
      </c>
    </row>
    <row r="6" spans="1:33" ht="13.2" x14ac:dyDescent="0.25">
      <c r="A6" s="8" t="s">
        <v>5</v>
      </c>
      <c r="B6" s="9" t="s">
        <v>109</v>
      </c>
      <c r="C6" s="9"/>
      <c r="D6" s="9" t="s">
        <v>571</v>
      </c>
      <c r="E6" s="9"/>
      <c r="F6" s="9" t="s">
        <v>469</v>
      </c>
      <c r="G6" s="9"/>
      <c r="H6" s="9"/>
      <c r="I6" s="9"/>
      <c r="J6" s="9" t="s">
        <v>109</v>
      </c>
      <c r="K6" s="9"/>
      <c r="L6" s="9"/>
      <c r="M6" s="9" t="s">
        <v>572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0</v>
      </c>
    </row>
    <row r="8" spans="1:33" ht="13.2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>
        <v>250</v>
      </c>
      <c r="C9" s="5"/>
      <c r="D9" s="5"/>
      <c r="E9" s="5">
        <v>60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69</v>
      </c>
      <c r="X9" s="5"/>
      <c r="Y9" s="5"/>
      <c r="Z9" s="5">
        <v>310</v>
      </c>
      <c r="AA9" s="5">
        <v>350</v>
      </c>
      <c r="AB9" s="5"/>
      <c r="AC9" s="5">
        <v>396</v>
      </c>
      <c r="AD9" s="5"/>
      <c r="AE9" s="5"/>
      <c r="AF9" s="5"/>
      <c r="AG9" s="6">
        <f>SUM(B9:AF9)</f>
        <v>1435</v>
      </c>
    </row>
    <row r="10" spans="1:33" ht="33.75" customHeight="1" x14ac:dyDescent="0.25">
      <c r="A10" s="8" t="s">
        <v>5</v>
      </c>
      <c r="B10" s="9" t="s">
        <v>573</v>
      </c>
      <c r="C10" s="9"/>
      <c r="D10" s="9"/>
      <c r="E10" s="9" t="s">
        <v>467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 t="s">
        <v>574</v>
      </c>
      <c r="X10" s="9"/>
      <c r="Y10" s="9"/>
      <c r="Z10" s="9" t="s">
        <v>575</v>
      </c>
      <c r="AA10" s="9" t="s">
        <v>322</v>
      </c>
      <c r="AB10" s="9"/>
      <c r="AC10" s="9" t="s">
        <v>18</v>
      </c>
      <c r="AD10" s="9"/>
      <c r="AE10" s="9"/>
      <c r="AF10" s="9"/>
      <c r="AG10" s="10"/>
    </row>
    <row r="11" spans="1:33" ht="13.2" x14ac:dyDescent="0.25">
      <c r="A11" s="7" t="s">
        <v>21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>
        <f>SUM(B11:AF11)</f>
        <v>0</v>
      </c>
    </row>
    <row r="12" spans="1:33" ht="42" customHeight="1" x14ac:dyDescent="0.25">
      <c r="A12" s="8" t="s">
        <v>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spans="1:33" ht="13.2" x14ac:dyDescent="0.25">
      <c r="A13" s="7" t="s">
        <v>24</v>
      </c>
      <c r="B13" s="5">
        <v>20</v>
      </c>
      <c r="C13" s="5">
        <v>150</v>
      </c>
      <c r="D13" s="5">
        <v>30</v>
      </c>
      <c r="E13" s="5">
        <v>120</v>
      </c>
      <c r="F13" s="5"/>
      <c r="G13" s="5"/>
      <c r="H13" s="5"/>
      <c r="I13" s="5"/>
      <c r="J13" s="5"/>
      <c r="K13" s="5">
        <v>60</v>
      </c>
      <c r="L13" s="5">
        <v>100</v>
      </c>
      <c r="M13" s="5">
        <v>20</v>
      </c>
      <c r="N13" s="5">
        <v>30</v>
      </c>
      <c r="O13" s="5">
        <v>30</v>
      </c>
      <c r="P13" s="5">
        <v>80</v>
      </c>
      <c r="Q13" s="5">
        <v>53</v>
      </c>
      <c r="R13" s="5">
        <v>163</v>
      </c>
      <c r="S13" s="5">
        <v>163</v>
      </c>
      <c r="T13" s="5"/>
      <c r="U13" s="5">
        <v>20</v>
      </c>
      <c r="V13" s="5"/>
      <c r="W13" s="5">
        <v>20</v>
      </c>
      <c r="X13" s="5">
        <v>40</v>
      </c>
      <c r="Y13" s="5">
        <v>30</v>
      </c>
      <c r="Z13" s="5">
        <v>260</v>
      </c>
      <c r="AA13" s="5">
        <v>60</v>
      </c>
      <c r="AB13" s="5">
        <v>237</v>
      </c>
      <c r="AC13" s="5"/>
      <c r="AD13" s="5"/>
      <c r="AE13" s="5"/>
      <c r="AF13" s="5"/>
      <c r="AG13" s="6">
        <f>SUM(B13:AF13)</f>
        <v>1686</v>
      </c>
    </row>
    <row r="14" spans="1:33" ht="58.5" customHeight="1" x14ac:dyDescent="0.25">
      <c r="A14" s="8" t="s">
        <v>5</v>
      </c>
      <c r="B14" s="9" t="s">
        <v>530</v>
      </c>
      <c r="C14" s="9" t="s">
        <v>576</v>
      </c>
      <c r="D14" s="9" t="s">
        <v>39</v>
      </c>
      <c r="E14" s="9" t="s">
        <v>577</v>
      </c>
      <c r="F14" s="9"/>
      <c r="G14" s="9"/>
      <c r="H14" s="9"/>
      <c r="I14" s="9"/>
      <c r="J14" s="9"/>
      <c r="K14" s="9" t="s">
        <v>39</v>
      </c>
      <c r="L14" s="9" t="s">
        <v>578</v>
      </c>
      <c r="M14" s="9" t="s">
        <v>285</v>
      </c>
      <c r="N14" s="9" t="s">
        <v>78</v>
      </c>
      <c r="O14" s="9" t="s">
        <v>39</v>
      </c>
      <c r="P14" s="9" t="s">
        <v>507</v>
      </c>
      <c r="Q14" s="9" t="s">
        <v>39</v>
      </c>
      <c r="R14" s="9" t="s">
        <v>579</v>
      </c>
      <c r="S14" s="9" t="s">
        <v>579</v>
      </c>
      <c r="T14" s="9"/>
      <c r="U14" s="9" t="s">
        <v>39</v>
      </c>
      <c r="V14" s="9"/>
      <c r="W14" s="9" t="s">
        <v>580</v>
      </c>
      <c r="X14" s="9" t="s">
        <v>36</v>
      </c>
      <c r="Y14" s="9" t="s">
        <v>581</v>
      </c>
      <c r="Z14" s="9" t="s">
        <v>582</v>
      </c>
      <c r="AA14" s="9" t="s">
        <v>583</v>
      </c>
      <c r="AB14" s="9" t="s">
        <v>584</v>
      </c>
      <c r="AC14" s="9"/>
      <c r="AD14" s="9"/>
      <c r="AE14" s="9"/>
      <c r="AF14" s="9"/>
      <c r="AG14" s="10"/>
    </row>
    <row r="15" spans="1:33" ht="13.2" x14ac:dyDescent="0.25">
      <c r="A15" s="7" t="s">
        <v>44</v>
      </c>
      <c r="B15" s="5"/>
      <c r="C15" s="5"/>
      <c r="D15" s="5"/>
      <c r="E15" s="5">
        <v>13</v>
      </c>
      <c r="F15" s="5"/>
      <c r="G15" s="5">
        <v>45</v>
      </c>
      <c r="H15" s="5"/>
      <c r="I15" s="5">
        <v>166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75</v>
      </c>
      <c r="X15" s="5"/>
      <c r="Y15" s="5"/>
      <c r="Z15" s="5"/>
      <c r="AA15" s="5">
        <v>1020</v>
      </c>
      <c r="AB15" s="5"/>
      <c r="AC15" s="5"/>
      <c r="AD15" s="5"/>
      <c r="AE15" s="5"/>
      <c r="AF15" s="5"/>
      <c r="AG15" s="6">
        <f>SUM(B15:AF15)</f>
        <v>1319</v>
      </c>
    </row>
    <row r="16" spans="1:33" ht="17.25" customHeight="1" x14ac:dyDescent="0.25">
      <c r="A16" s="8" t="s">
        <v>5</v>
      </c>
      <c r="B16" s="9"/>
      <c r="C16" s="9"/>
      <c r="D16" s="9"/>
      <c r="E16" s="9" t="s">
        <v>565</v>
      </c>
      <c r="F16" s="9"/>
      <c r="G16" s="9" t="s">
        <v>585</v>
      </c>
      <c r="H16" s="9"/>
      <c r="I16" s="9" t="s">
        <v>531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 t="s">
        <v>586</v>
      </c>
      <c r="X16" s="9"/>
      <c r="Y16" s="9"/>
      <c r="Z16" s="9"/>
      <c r="AA16" s="9" t="s">
        <v>587</v>
      </c>
      <c r="AB16" s="9"/>
      <c r="AC16" s="9"/>
      <c r="AD16" s="9"/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1750</v>
      </c>
      <c r="AC17" s="5"/>
      <c r="AD17" s="5">
        <v>210</v>
      </c>
      <c r="AE17" s="5"/>
      <c r="AF17" s="5"/>
      <c r="AG17" s="6">
        <f>SUM(B17:AF17)</f>
        <v>1960</v>
      </c>
    </row>
    <row r="18" spans="1:33" ht="26.4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 t="s">
        <v>588</v>
      </c>
      <c r="AC18" s="9"/>
      <c r="AD18" s="9" t="s">
        <v>589</v>
      </c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>
        <v>55000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55000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 t="s">
        <v>590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>
        <v>2380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33</v>
      </c>
      <c r="T23" s="5"/>
      <c r="U23" s="5"/>
      <c r="V23" s="5"/>
      <c r="W23" s="5">
        <v>3000</v>
      </c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5413</v>
      </c>
    </row>
    <row r="24" spans="1:33" ht="13.2" x14ac:dyDescent="0.25">
      <c r="A24" s="8" t="s">
        <v>5</v>
      </c>
      <c r="B24" s="9"/>
      <c r="C24" s="9"/>
      <c r="D24" s="9"/>
      <c r="E24" s="9" t="s">
        <v>591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592</v>
      </c>
      <c r="T24" s="9"/>
      <c r="U24" s="9"/>
      <c r="V24" s="9"/>
      <c r="W24" s="9" t="s">
        <v>271</v>
      </c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>SUM(B5+B7+B9+B11+B13+B15+B17+B19+B21+B23)</f>
        <v>281</v>
      </c>
      <c r="C26" s="13">
        <v>0</v>
      </c>
      <c r="D26" s="13">
        <f t="shared" ref="D26:AG26" si="0">SUM(D5+D7+D9+D11+D13+D15+D17+D19+D21+D23)</f>
        <v>60</v>
      </c>
      <c r="E26" s="13">
        <f t="shared" si="0"/>
        <v>2573</v>
      </c>
      <c r="F26" s="13">
        <f t="shared" si="0"/>
        <v>50</v>
      </c>
      <c r="G26" s="13">
        <f t="shared" si="0"/>
        <v>45</v>
      </c>
      <c r="H26" s="13">
        <f t="shared" si="0"/>
        <v>55000</v>
      </c>
      <c r="I26" s="13">
        <f t="shared" si="0"/>
        <v>166</v>
      </c>
      <c r="J26" s="13">
        <f t="shared" si="0"/>
        <v>300</v>
      </c>
      <c r="K26" s="13">
        <f t="shared" si="0"/>
        <v>60</v>
      </c>
      <c r="L26" s="13">
        <f t="shared" si="0"/>
        <v>100</v>
      </c>
      <c r="M26" s="13">
        <f t="shared" si="0"/>
        <v>1870</v>
      </c>
      <c r="N26" s="13">
        <f t="shared" si="0"/>
        <v>30</v>
      </c>
      <c r="O26" s="13">
        <f t="shared" si="0"/>
        <v>30</v>
      </c>
      <c r="P26" s="13">
        <f t="shared" si="0"/>
        <v>80</v>
      </c>
      <c r="Q26" s="13">
        <f t="shared" si="0"/>
        <v>53</v>
      </c>
      <c r="R26" s="13">
        <f t="shared" si="0"/>
        <v>163</v>
      </c>
      <c r="S26" s="14">
        <f t="shared" si="0"/>
        <v>196</v>
      </c>
      <c r="T26" s="13">
        <f t="shared" si="0"/>
        <v>0</v>
      </c>
      <c r="U26" s="13">
        <f t="shared" si="0"/>
        <v>20</v>
      </c>
      <c r="V26" s="13">
        <f t="shared" si="0"/>
        <v>0</v>
      </c>
      <c r="W26" s="13">
        <f t="shared" si="0"/>
        <v>3164</v>
      </c>
      <c r="X26" s="13">
        <f t="shared" si="0"/>
        <v>40</v>
      </c>
      <c r="Y26" s="13">
        <f t="shared" si="0"/>
        <v>30</v>
      </c>
      <c r="Z26" s="13">
        <f t="shared" si="0"/>
        <v>570</v>
      </c>
      <c r="AA26" s="13">
        <f t="shared" si="0"/>
        <v>1430</v>
      </c>
      <c r="AB26" s="13">
        <f t="shared" si="0"/>
        <v>1987</v>
      </c>
      <c r="AC26" s="13">
        <f t="shared" si="0"/>
        <v>396</v>
      </c>
      <c r="AD26" s="13">
        <f t="shared" si="0"/>
        <v>210</v>
      </c>
      <c r="AE26" s="13">
        <f t="shared" si="0"/>
        <v>0</v>
      </c>
      <c r="AF26" s="13">
        <f t="shared" si="0"/>
        <v>0</v>
      </c>
      <c r="AG26" s="15">
        <f t="shared" si="0"/>
        <v>69054</v>
      </c>
    </row>
  </sheetData>
  <mergeCells count="2">
    <mergeCell ref="A1:A2"/>
    <mergeCell ref="B1:AG2"/>
  </mergeCells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2E0C-4916-4165-8D08-0BFABD9CBB63}">
  <sheetPr>
    <outlinePr summaryBelow="0" summaryRight="0"/>
  </sheetPr>
  <dimension ref="A1:AG26"/>
  <sheetViews>
    <sheetView showGridLines="0" zoomScale="83" workbookViewId="0">
      <pane xSplit="1" ySplit="3" topLeftCell="AF4" activePane="bottomRight" state="frozen"/>
      <selection pane="topRight" activeCell="B1" sqref="B1"/>
      <selection pane="bottomLeft" activeCell="A4" sqref="A4"/>
      <selection pane="bottomRight" activeCell="AF13" sqref="AF13"/>
    </sheetView>
  </sheetViews>
  <sheetFormatPr defaultColWidth="12.5546875" defaultRowHeight="15.75" customHeight="1" x14ac:dyDescent="0.25"/>
  <cols>
    <col min="1" max="1" width="27.6640625" customWidth="1"/>
    <col min="2" max="2" width="10.441406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11.3320312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>
        <v>11.1</v>
      </c>
      <c r="D5" s="5">
        <v>413</v>
      </c>
      <c r="E5" s="5"/>
      <c r="F5" s="5">
        <v>1000</v>
      </c>
      <c r="G5" s="5"/>
      <c r="H5" s="5"/>
      <c r="I5" s="5">
        <v>299</v>
      </c>
      <c r="J5" s="5"/>
      <c r="K5" s="5">
        <v>50</v>
      </c>
      <c r="L5" s="5"/>
      <c r="M5" s="5"/>
      <c r="N5" s="5"/>
      <c r="O5" s="5">
        <v>10</v>
      </c>
      <c r="P5" s="5"/>
      <c r="Q5" s="5"/>
      <c r="R5" s="5"/>
      <c r="S5" s="5"/>
      <c r="T5" s="5"/>
      <c r="U5" s="5"/>
      <c r="V5" s="5"/>
      <c r="W5" s="5">
        <v>579</v>
      </c>
      <c r="X5" s="5"/>
      <c r="Y5" s="5"/>
      <c r="Z5" s="5"/>
      <c r="AA5" s="5">
        <v>930</v>
      </c>
      <c r="AB5" s="5"/>
      <c r="AC5" s="5"/>
      <c r="AD5" s="5"/>
      <c r="AE5" s="5"/>
      <c r="AF5" s="5">
        <v>50</v>
      </c>
      <c r="AG5" s="6">
        <f>SUM(B5:AF5)</f>
        <v>3342.1</v>
      </c>
    </row>
    <row r="6" spans="1:33" ht="13.2" x14ac:dyDescent="0.25">
      <c r="A6" s="8" t="s">
        <v>5</v>
      </c>
      <c r="B6" s="9"/>
      <c r="C6" s="9" t="s">
        <v>195</v>
      </c>
      <c r="D6" s="9" t="s">
        <v>593</v>
      </c>
      <c r="E6" s="9"/>
      <c r="F6" s="9" t="s">
        <v>595</v>
      </c>
      <c r="G6" s="9"/>
      <c r="H6" s="9"/>
      <c r="I6" s="9" t="s">
        <v>109</v>
      </c>
      <c r="J6" s="9"/>
      <c r="K6" s="9" t="s">
        <v>231</v>
      </c>
      <c r="L6" s="9"/>
      <c r="M6" s="9"/>
      <c r="N6" s="9"/>
      <c r="O6" s="9" t="s">
        <v>109</v>
      </c>
      <c r="P6" s="9"/>
      <c r="Q6" s="9"/>
      <c r="R6" s="9"/>
      <c r="S6" s="9"/>
      <c r="T6" s="9"/>
      <c r="U6" s="9"/>
      <c r="V6" s="9"/>
      <c r="W6" s="9" t="s">
        <v>611</v>
      </c>
      <c r="X6" s="9"/>
      <c r="Y6" s="9"/>
      <c r="Z6" s="9"/>
      <c r="AA6" s="9" t="s">
        <v>613</v>
      </c>
      <c r="AB6" s="9"/>
      <c r="AC6" s="9"/>
      <c r="AD6" s="9"/>
      <c r="AE6" s="9"/>
      <c r="AF6" s="9" t="s">
        <v>195</v>
      </c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0</v>
      </c>
    </row>
    <row r="8" spans="1:33" ht="13.2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200</v>
      </c>
      <c r="R9" s="5"/>
      <c r="S9" s="5"/>
      <c r="T9" s="5"/>
      <c r="U9" s="5"/>
      <c r="V9" s="5"/>
      <c r="W9" s="5"/>
      <c r="X9" s="5"/>
      <c r="Y9" s="5">
        <v>200</v>
      </c>
      <c r="Z9" s="5"/>
      <c r="AA9" s="5"/>
      <c r="AB9" s="5"/>
      <c r="AC9" s="5"/>
      <c r="AD9" s="5"/>
      <c r="AE9" s="5">
        <v>200</v>
      </c>
      <c r="AF9" s="5"/>
      <c r="AG9" s="6">
        <f>SUM(B9:AF9)</f>
        <v>600</v>
      </c>
    </row>
    <row r="10" spans="1:33" ht="33.75" customHeight="1" x14ac:dyDescent="0.25">
      <c r="A10" s="8" t="s">
        <v>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 t="s">
        <v>17</v>
      </c>
      <c r="R10" s="9"/>
      <c r="S10" s="9"/>
      <c r="T10" s="9"/>
      <c r="U10" s="9"/>
      <c r="V10" s="9"/>
      <c r="W10" s="9"/>
      <c r="X10" s="9"/>
      <c r="Y10" s="9" t="s">
        <v>18</v>
      </c>
      <c r="Z10" s="9"/>
      <c r="AA10" s="9"/>
      <c r="AB10" s="9"/>
      <c r="AC10" s="9"/>
      <c r="AD10" s="9"/>
      <c r="AE10" s="9" t="s">
        <v>18</v>
      </c>
      <c r="AF10" s="9"/>
      <c r="AG10" s="10"/>
    </row>
    <row r="11" spans="1:33" ht="13.2" x14ac:dyDescent="0.25">
      <c r="A11" s="7" t="s">
        <v>21</v>
      </c>
      <c r="B11" s="5"/>
      <c r="C11" s="5"/>
      <c r="D11" s="5"/>
      <c r="E11" s="5">
        <v>300</v>
      </c>
      <c r="F11" s="5"/>
      <c r="G11" s="5">
        <v>235</v>
      </c>
      <c r="H11" s="5"/>
      <c r="I11" s="5"/>
      <c r="J11" s="5">
        <v>17</v>
      </c>
      <c r="K11" s="5"/>
      <c r="L11" s="5">
        <v>68</v>
      </c>
      <c r="M11" s="5"/>
      <c r="N11" s="5">
        <v>250</v>
      </c>
      <c r="O11" s="5">
        <v>34</v>
      </c>
      <c r="P11" s="5">
        <v>35</v>
      </c>
      <c r="Q11" s="5">
        <v>60</v>
      </c>
      <c r="R11" s="5"/>
      <c r="S11" s="5">
        <v>35</v>
      </c>
      <c r="T11" s="5"/>
      <c r="U11" s="5">
        <v>120</v>
      </c>
      <c r="V11" s="5">
        <v>63</v>
      </c>
      <c r="W11" s="5"/>
      <c r="X11" s="5">
        <v>63</v>
      </c>
      <c r="Y11" s="5">
        <v>100</v>
      </c>
      <c r="Z11" s="5"/>
      <c r="AA11" s="5">
        <v>70</v>
      </c>
      <c r="AB11" s="5">
        <v>140</v>
      </c>
      <c r="AC11" s="5"/>
      <c r="AD11" s="5"/>
      <c r="AE11" s="5"/>
      <c r="AF11" s="5">
        <v>69</v>
      </c>
      <c r="AG11" s="6">
        <f>SUM(B11:AF11)</f>
        <v>1659</v>
      </c>
    </row>
    <row r="12" spans="1:33" ht="42" customHeight="1" x14ac:dyDescent="0.25">
      <c r="A12" s="8" t="s">
        <v>5</v>
      </c>
      <c r="B12" s="9"/>
      <c r="C12" s="9"/>
      <c r="D12" s="9"/>
      <c r="E12" s="9" t="s">
        <v>594</v>
      </c>
      <c r="F12" s="9"/>
      <c r="G12" s="9" t="s">
        <v>545</v>
      </c>
      <c r="H12" s="9"/>
      <c r="I12" s="9"/>
      <c r="J12" s="9" t="s">
        <v>241</v>
      </c>
      <c r="K12" s="9"/>
      <c r="L12" s="9" t="s">
        <v>154</v>
      </c>
      <c r="M12" s="9"/>
      <c r="N12" s="9" t="s">
        <v>600</v>
      </c>
      <c r="O12" s="9" t="s">
        <v>584</v>
      </c>
      <c r="P12" s="9" t="s">
        <v>584</v>
      </c>
      <c r="Q12" s="9" t="s">
        <v>604</v>
      </c>
      <c r="R12" s="9"/>
      <c r="S12" s="9" t="s">
        <v>152</v>
      </c>
      <c r="T12" s="9"/>
      <c r="U12" s="9" t="s">
        <v>527</v>
      </c>
      <c r="V12" s="9" t="s">
        <v>610</v>
      </c>
      <c r="W12" s="9"/>
      <c r="X12" s="9" t="s">
        <v>152</v>
      </c>
      <c r="Y12" s="9" t="s">
        <v>152</v>
      </c>
      <c r="Z12" s="9"/>
      <c r="AA12" s="9" t="s">
        <v>612</v>
      </c>
      <c r="AB12" s="9" t="s">
        <v>615</v>
      </c>
      <c r="AC12" s="9"/>
      <c r="AD12" s="9"/>
      <c r="AE12" s="9"/>
      <c r="AF12" s="9" t="s">
        <v>152</v>
      </c>
      <c r="AG12" s="10"/>
    </row>
    <row r="13" spans="1:33" ht="13.2" x14ac:dyDescent="0.25">
      <c r="A13" s="7" t="s">
        <v>24</v>
      </c>
      <c r="B13" s="5">
        <v>68</v>
      </c>
      <c r="C13" s="5"/>
      <c r="D13" s="5"/>
      <c r="E13" s="5">
        <v>17</v>
      </c>
      <c r="F13" s="5">
        <v>50</v>
      </c>
      <c r="G13" s="5"/>
      <c r="H13" s="5"/>
      <c r="I13" s="5"/>
      <c r="J13" s="5">
        <v>50</v>
      </c>
      <c r="K13" s="5">
        <v>36</v>
      </c>
      <c r="L13" s="5">
        <v>70</v>
      </c>
      <c r="M13" s="5"/>
      <c r="N13" s="5"/>
      <c r="O13" s="5">
        <v>90</v>
      </c>
      <c r="P13" s="5">
        <v>60</v>
      </c>
      <c r="Q13" s="5"/>
      <c r="R13" s="5">
        <v>56</v>
      </c>
      <c r="S13" s="5">
        <v>65</v>
      </c>
      <c r="T13" s="5">
        <v>20</v>
      </c>
      <c r="U13" s="5"/>
      <c r="V13" s="5"/>
      <c r="W13" s="5"/>
      <c r="X13" s="5"/>
      <c r="Y13" s="5"/>
      <c r="Z13" s="5"/>
      <c r="AA13" s="5">
        <v>40</v>
      </c>
      <c r="AB13" s="5"/>
      <c r="AC13" s="5">
        <v>70</v>
      </c>
      <c r="AD13" s="5"/>
      <c r="AE13" s="5">
        <v>70</v>
      </c>
      <c r="AF13" s="5">
        <v>240</v>
      </c>
      <c r="AG13" s="6">
        <f>SUM(B13:AF13)</f>
        <v>1002</v>
      </c>
    </row>
    <row r="14" spans="1:33" ht="58.5" customHeight="1" x14ac:dyDescent="0.25">
      <c r="A14" s="8" t="s">
        <v>5</v>
      </c>
      <c r="B14" s="9" t="s">
        <v>208</v>
      </c>
      <c r="C14" s="9"/>
      <c r="D14" s="9"/>
      <c r="E14" s="9" t="s">
        <v>241</v>
      </c>
      <c r="F14" s="9" t="s">
        <v>163</v>
      </c>
      <c r="G14" s="9"/>
      <c r="H14" s="9"/>
      <c r="I14" s="9"/>
      <c r="J14" s="9" t="s">
        <v>598</v>
      </c>
      <c r="K14" s="9" t="s">
        <v>599</v>
      </c>
      <c r="L14" s="9" t="s">
        <v>598</v>
      </c>
      <c r="M14" s="9"/>
      <c r="N14" s="9"/>
      <c r="O14" s="9" t="s">
        <v>602</v>
      </c>
      <c r="P14" s="9" t="s">
        <v>52</v>
      </c>
      <c r="Q14" s="9"/>
      <c r="R14" s="9" t="s">
        <v>331</v>
      </c>
      <c r="S14" s="9" t="s">
        <v>606</v>
      </c>
      <c r="T14" s="9" t="s">
        <v>607</v>
      </c>
      <c r="U14" s="9"/>
      <c r="V14" s="9"/>
      <c r="W14" s="9"/>
      <c r="X14" s="9"/>
      <c r="Y14" s="9"/>
      <c r="Z14" s="9"/>
      <c r="AA14" s="9" t="s">
        <v>525</v>
      </c>
      <c r="AB14" s="9"/>
      <c r="AC14" s="9" t="s">
        <v>525</v>
      </c>
      <c r="AD14" s="9"/>
      <c r="AE14" s="9" t="s">
        <v>616</v>
      </c>
      <c r="AF14" s="9" t="s">
        <v>617</v>
      </c>
      <c r="AG14" s="10"/>
    </row>
    <row r="15" spans="1:33" ht="13.2" x14ac:dyDescent="0.25">
      <c r="A15" s="7" t="s">
        <v>44</v>
      </c>
      <c r="B15" s="5"/>
      <c r="C15" s="5"/>
      <c r="D15" s="5"/>
      <c r="E15" s="5"/>
      <c r="F15" s="5"/>
      <c r="G15" s="5"/>
      <c r="H15" s="5">
        <v>2500</v>
      </c>
      <c r="I15" s="5"/>
      <c r="J15" s="5"/>
      <c r="K15" s="5"/>
      <c r="L15" s="5"/>
      <c r="M15" s="5"/>
      <c r="N15" s="5">
        <v>928</v>
      </c>
      <c r="O15" s="5"/>
      <c r="P15" s="5"/>
      <c r="Q15" s="5">
        <v>206</v>
      </c>
      <c r="R15" s="5">
        <v>189</v>
      </c>
      <c r="S15" s="5"/>
      <c r="T15" s="5"/>
      <c r="U15" s="5"/>
      <c r="V15" s="5">
        <v>109</v>
      </c>
      <c r="W15" s="5">
        <v>109</v>
      </c>
      <c r="X15" s="5"/>
      <c r="Y15" s="5"/>
      <c r="Z15" s="5"/>
      <c r="AA15" s="5"/>
      <c r="AB15" s="5">
        <v>69</v>
      </c>
      <c r="AC15" s="5"/>
      <c r="AD15" s="5"/>
      <c r="AE15" s="5"/>
      <c r="AF15" s="5"/>
      <c r="AG15" s="6">
        <f>SUM(B15:AF15)</f>
        <v>4110</v>
      </c>
    </row>
    <row r="16" spans="1:33" ht="17.25" customHeight="1" x14ac:dyDescent="0.25">
      <c r="A16" s="8" t="s">
        <v>5</v>
      </c>
      <c r="B16" s="9"/>
      <c r="C16" s="9"/>
      <c r="D16" s="9"/>
      <c r="E16" s="9"/>
      <c r="F16" s="9"/>
      <c r="G16" s="9"/>
      <c r="H16" s="9" t="s">
        <v>597</v>
      </c>
      <c r="I16" s="9"/>
      <c r="J16" s="9"/>
      <c r="K16" s="9"/>
      <c r="L16" s="9"/>
      <c r="M16" s="9"/>
      <c r="N16" s="9" t="s">
        <v>601</v>
      </c>
      <c r="O16" s="9"/>
      <c r="P16" s="9"/>
      <c r="Q16" s="9" t="s">
        <v>603</v>
      </c>
      <c r="R16" s="9" t="s">
        <v>605</v>
      </c>
      <c r="S16" s="9"/>
      <c r="T16" s="9"/>
      <c r="U16" s="9"/>
      <c r="V16" s="9" t="s">
        <v>608</v>
      </c>
      <c r="W16" s="9" t="s">
        <v>154</v>
      </c>
      <c r="X16" s="9"/>
      <c r="Y16" s="9"/>
      <c r="Z16" s="9"/>
      <c r="AA16" s="9"/>
      <c r="AB16" s="9" t="s">
        <v>152</v>
      </c>
      <c r="AC16" s="9"/>
      <c r="AD16" s="9"/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>
        <v>50</v>
      </c>
      <c r="E17" s="5"/>
      <c r="F17" s="5"/>
      <c r="G17" s="5"/>
      <c r="H17" s="5"/>
      <c r="I17" s="5"/>
      <c r="J17" s="5"/>
      <c r="K17" s="5"/>
      <c r="L17" s="5"/>
      <c r="M17" s="5"/>
      <c r="N17" s="5">
        <v>69</v>
      </c>
      <c r="O17" s="5">
        <v>50</v>
      </c>
      <c r="P17" s="5"/>
      <c r="Q17" s="5"/>
      <c r="R17" s="5"/>
      <c r="S17" s="5"/>
      <c r="T17" s="5"/>
      <c r="U17" s="5"/>
      <c r="V17" s="5">
        <v>160</v>
      </c>
      <c r="W17" s="5"/>
      <c r="X17" s="5"/>
      <c r="Y17" s="5"/>
      <c r="Z17" s="5"/>
      <c r="AA17" s="5"/>
      <c r="AB17" s="5">
        <v>1650</v>
      </c>
      <c r="AC17" s="5"/>
      <c r="AD17" s="5"/>
      <c r="AE17" s="5"/>
      <c r="AF17" s="5"/>
      <c r="AG17" s="6">
        <f>SUM(B17:AF17)</f>
        <v>1979</v>
      </c>
    </row>
    <row r="18" spans="1:33" ht="13.2" x14ac:dyDescent="0.25">
      <c r="A18" s="8" t="s">
        <v>5</v>
      </c>
      <c r="B18" s="9"/>
      <c r="C18" s="9"/>
      <c r="D18" s="9" t="s">
        <v>109</v>
      </c>
      <c r="E18" s="9"/>
      <c r="F18" s="9"/>
      <c r="G18" s="9"/>
      <c r="H18" s="9"/>
      <c r="I18" s="9"/>
      <c r="J18" s="9"/>
      <c r="K18" s="9"/>
      <c r="L18" s="9"/>
      <c r="M18" s="9"/>
      <c r="N18" s="9" t="s">
        <v>152</v>
      </c>
      <c r="O18" s="9" t="s">
        <v>598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 t="s">
        <v>614</v>
      </c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>
        <v>70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50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120</v>
      </c>
    </row>
    <row r="24" spans="1:33" ht="13.2" x14ac:dyDescent="0.25">
      <c r="A24" s="8" t="s">
        <v>5</v>
      </c>
      <c r="B24" s="9"/>
      <c r="C24" s="9"/>
      <c r="D24" s="9"/>
      <c r="E24" s="9"/>
      <c r="F24" s="9"/>
      <c r="G24" s="9" t="s">
        <v>596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 t="s">
        <v>609</v>
      </c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>SUM(B5+B7+B9+B11+B13+B15+B17+B19+B21+B23)</f>
        <v>68</v>
      </c>
      <c r="C26" s="13">
        <v>0</v>
      </c>
      <c r="D26" s="13">
        <f t="shared" ref="D26:AG26" si="0">SUM(D5+D7+D9+D11+D13+D15+D17+D19+D21+D23)</f>
        <v>463</v>
      </c>
      <c r="E26" s="13">
        <f t="shared" si="0"/>
        <v>317</v>
      </c>
      <c r="F26" s="13">
        <f t="shared" si="0"/>
        <v>1050</v>
      </c>
      <c r="G26" s="13">
        <f t="shared" si="0"/>
        <v>305</v>
      </c>
      <c r="H26" s="13">
        <f t="shared" si="0"/>
        <v>2500</v>
      </c>
      <c r="I26" s="13">
        <f t="shared" si="0"/>
        <v>299</v>
      </c>
      <c r="J26" s="13">
        <f t="shared" si="0"/>
        <v>67</v>
      </c>
      <c r="K26" s="13">
        <f t="shared" si="0"/>
        <v>86</v>
      </c>
      <c r="L26" s="13">
        <f t="shared" si="0"/>
        <v>138</v>
      </c>
      <c r="M26" s="13">
        <f t="shared" si="0"/>
        <v>0</v>
      </c>
      <c r="N26" s="13">
        <f t="shared" si="0"/>
        <v>1247</v>
      </c>
      <c r="O26" s="13">
        <f t="shared" si="0"/>
        <v>184</v>
      </c>
      <c r="P26" s="13">
        <f t="shared" si="0"/>
        <v>95</v>
      </c>
      <c r="Q26" s="13">
        <f t="shared" si="0"/>
        <v>466</v>
      </c>
      <c r="R26" s="13">
        <f t="shared" si="0"/>
        <v>245</v>
      </c>
      <c r="S26" s="14">
        <f t="shared" si="0"/>
        <v>100</v>
      </c>
      <c r="T26" s="13">
        <f t="shared" si="0"/>
        <v>20</v>
      </c>
      <c r="U26" s="13">
        <f t="shared" si="0"/>
        <v>120</v>
      </c>
      <c r="V26" s="13">
        <f t="shared" si="0"/>
        <v>382</v>
      </c>
      <c r="W26" s="13">
        <f t="shared" si="0"/>
        <v>688</v>
      </c>
      <c r="X26" s="13">
        <f t="shared" si="0"/>
        <v>63</v>
      </c>
      <c r="Y26" s="13">
        <f t="shared" si="0"/>
        <v>300</v>
      </c>
      <c r="Z26" s="13">
        <f t="shared" si="0"/>
        <v>0</v>
      </c>
      <c r="AA26" s="13">
        <f t="shared" si="0"/>
        <v>1040</v>
      </c>
      <c r="AB26" s="13">
        <f t="shared" si="0"/>
        <v>1859</v>
      </c>
      <c r="AC26" s="13">
        <f t="shared" si="0"/>
        <v>70</v>
      </c>
      <c r="AD26" s="13">
        <f t="shared" si="0"/>
        <v>0</v>
      </c>
      <c r="AE26" s="13">
        <f t="shared" si="0"/>
        <v>270</v>
      </c>
      <c r="AF26" s="13">
        <f t="shared" si="0"/>
        <v>359</v>
      </c>
      <c r="AG26" s="15">
        <f t="shared" si="0"/>
        <v>12812.1</v>
      </c>
    </row>
  </sheetData>
  <mergeCells count="2">
    <mergeCell ref="A1:A2"/>
    <mergeCell ref="B1:AG2"/>
  </mergeCells>
  <pageMargins left="0" right="0" top="0" bottom="0" header="0" footer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EDB6-21D0-4A5E-BE6A-75C7D0981D1A}">
  <sheetPr>
    <outlinePr summaryBelow="0" summaryRight="0"/>
  </sheetPr>
  <dimension ref="A1:AG26"/>
  <sheetViews>
    <sheetView showGridLines="0" zoomScale="87" workbookViewId="0">
      <pane xSplit="1" ySplit="3" topLeftCell="AE4" activePane="bottomRight" state="frozen"/>
      <selection pane="topRight" activeCell="B1" sqref="B1"/>
      <selection pane="bottomLeft" activeCell="A4" sqref="A4"/>
      <selection pane="bottomRight" activeCell="AE15" sqref="AE15"/>
    </sheetView>
  </sheetViews>
  <sheetFormatPr defaultColWidth="12.5546875" defaultRowHeight="15.75" customHeight="1" x14ac:dyDescent="0.25"/>
  <cols>
    <col min="1" max="1" width="27.6640625" customWidth="1"/>
    <col min="2" max="2" width="10.441406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11.3320312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>
        <v>11</v>
      </c>
      <c r="C5" s="5"/>
      <c r="D5" s="5"/>
      <c r="E5" s="5"/>
      <c r="F5" s="5"/>
      <c r="G5" s="5"/>
      <c r="H5" s="5"/>
      <c r="I5" s="5"/>
      <c r="J5" s="5"/>
      <c r="K5" s="5">
        <v>2100</v>
      </c>
      <c r="L5" s="5"/>
      <c r="M5" s="5">
        <v>30</v>
      </c>
      <c r="N5" s="5"/>
      <c r="O5" s="5"/>
      <c r="P5" s="5">
        <v>49</v>
      </c>
      <c r="Q5" s="5"/>
      <c r="R5" s="5">
        <v>29</v>
      </c>
      <c r="S5" s="5"/>
      <c r="T5" s="5">
        <v>11</v>
      </c>
      <c r="U5" s="5"/>
      <c r="V5" s="5"/>
      <c r="W5" s="5"/>
      <c r="X5" s="5"/>
      <c r="Y5" s="5"/>
      <c r="Z5" s="5"/>
      <c r="AA5" s="5"/>
      <c r="AB5" s="5"/>
      <c r="AC5" s="5"/>
      <c r="AD5" s="5">
        <v>11</v>
      </c>
      <c r="AE5" s="5"/>
      <c r="AF5" s="5"/>
      <c r="AG5" s="6">
        <f>SUM(B5:AF5)</f>
        <v>2241</v>
      </c>
    </row>
    <row r="6" spans="1:33" ht="13.2" x14ac:dyDescent="0.25">
      <c r="A6" s="8" t="s">
        <v>5</v>
      </c>
      <c r="B6" s="9" t="s">
        <v>195</v>
      </c>
      <c r="C6" s="9"/>
      <c r="D6" s="9"/>
      <c r="E6" s="9"/>
      <c r="F6" s="9"/>
      <c r="G6" s="9"/>
      <c r="H6" s="9"/>
      <c r="I6" s="9"/>
      <c r="J6" s="9"/>
      <c r="K6" s="9" t="s">
        <v>593</v>
      </c>
      <c r="L6" s="9"/>
      <c r="M6" s="9" t="s">
        <v>663</v>
      </c>
      <c r="N6" s="9"/>
      <c r="O6" s="9"/>
      <c r="P6" s="9" t="s">
        <v>195</v>
      </c>
      <c r="Q6" s="9"/>
      <c r="R6" s="9" t="s">
        <v>145</v>
      </c>
      <c r="S6" s="9"/>
      <c r="T6" s="9" t="s">
        <v>145</v>
      </c>
      <c r="U6" s="9"/>
      <c r="V6" s="9"/>
      <c r="W6" s="9"/>
      <c r="X6" s="9"/>
      <c r="Y6" s="9"/>
      <c r="Z6" s="9"/>
      <c r="AA6" s="9"/>
      <c r="AB6" s="9"/>
      <c r="AC6" s="9"/>
      <c r="AD6" s="9" t="s">
        <v>232</v>
      </c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>
        <v>50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150</v>
      </c>
      <c r="Y7" s="5"/>
      <c r="Z7" s="5"/>
      <c r="AA7" s="5"/>
      <c r="AB7" s="5"/>
      <c r="AC7" s="5"/>
      <c r="AD7" s="5"/>
      <c r="AE7" s="5"/>
      <c r="AF7" s="5"/>
      <c r="AG7" s="6">
        <f>SUM(B7:AF7)</f>
        <v>200</v>
      </c>
    </row>
    <row r="8" spans="1:33" ht="26.4" x14ac:dyDescent="0.25">
      <c r="A8" s="8" t="s">
        <v>5</v>
      </c>
      <c r="B8" s="9"/>
      <c r="C8" s="9"/>
      <c r="D8" s="9"/>
      <c r="E8" s="9" t="s">
        <v>651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 t="s">
        <v>674</v>
      </c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/>
      <c r="D9" s="5"/>
      <c r="E9" s="5"/>
      <c r="F9" s="5"/>
      <c r="G9" s="5">
        <v>300</v>
      </c>
      <c r="H9" s="5"/>
      <c r="I9" s="5"/>
      <c r="J9" s="5"/>
      <c r="K9" s="5"/>
      <c r="L9" s="5">
        <v>300</v>
      </c>
      <c r="M9" s="5"/>
      <c r="N9" s="5"/>
      <c r="O9" s="5"/>
      <c r="P9" s="5"/>
      <c r="Q9" s="5"/>
      <c r="R9" s="5"/>
      <c r="S9" s="5">
        <v>300</v>
      </c>
      <c r="T9" s="5"/>
      <c r="U9" s="5"/>
      <c r="V9" s="5"/>
      <c r="W9" s="5"/>
      <c r="X9" s="5"/>
      <c r="Y9" s="5"/>
      <c r="Z9" s="5">
        <v>200</v>
      </c>
      <c r="AA9" s="5"/>
      <c r="AB9" s="5"/>
      <c r="AC9" s="5"/>
      <c r="AD9" s="5"/>
      <c r="AE9" s="5"/>
      <c r="AF9" s="5"/>
      <c r="AG9" s="6">
        <f>SUM(B9:AF9)</f>
        <v>1100</v>
      </c>
    </row>
    <row r="10" spans="1:33" ht="33.75" customHeight="1" x14ac:dyDescent="0.25">
      <c r="A10" s="8" t="s">
        <v>5</v>
      </c>
      <c r="B10" s="9"/>
      <c r="C10" s="9"/>
      <c r="D10" s="9"/>
      <c r="E10" s="9"/>
      <c r="F10" s="9"/>
      <c r="G10" s="9" t="s">
        <v>17</v>
      </c>
      <c r="H10" s="9"/>
      <c r="I10" s="9"/>
      <c r="J10" s="9"/>
      <c r="K10" s="9"/>
      <c r="L10" s="9" t="s">
        <v>17</v>
      </c>
      <c r="M10" s="9"/>
      <c r="N10" s="9"/>
      <c r="O10" s="9"/>
      <c r="P10" s="9"/>
      <c r="Q10" s="9"/>
      <c r="R10" s="9"/>
      <c r="S10" s="9" t="s">
        <v>17</v>
      </c>
      <c r="T10" s="9"/>
      <c r="U10" s="9"/>
      <c r="V10" s="9"/>
      <c r="W10" s="9"/>
      <c r="X10" s="9"/>
      <c r="Y10" s="9"/>
      <c r="Z10" s="9" t="s">
        <v>17</v>
      </c>
      <c r="AA10" s="9"/>
      <c r="AB10" s="9"/>
      <c r="AC10" s="9"/>
      <c r="AD10" s="9"/>
      <c r="AE10" s="9"/>
      <c r="AF10" s="9"/>
      <c r="AG10" s="10"/>
    </row>
    <row r="11" spans="1:33" ht="13.2" x14ac:dyDescent="0.25">
      <c r="A11" s="7" t="s">
        <v>21</v>
      </c>
      <c r="B11" s="5"/>
      <c r="C11" s="5"/>
      <c r="D11" s="5"/>
      <c r="E11" s="5">
        <v>107</v>
      </c>
      <c r="F11" s="5">
        <v>69</v>
      </c>
      <c r="G11" s="5"/>
      <c r="H11" s="5">
        <v>137</v>
      </c>
      <c r="I11" s="5"/>
      <c r="J11" s="5">
        <v>78</v>
      </c>
      <c r="K11" s="5">
        <v>45</v>
      </c>
      <c r="L11" s="5">
        <v>150</v>
      </c>
      <c r="M11" s="5"/>
      <c r="N11" s="5">
        <v>488</v>
      </c>
      <c r="O11" s="5">
        <v>30</v>
      </c>
      <c r="P11" s="5">
        <v>100</v>
      </c>
      <c r="Q11" s="5">
        <v>90</v>
      </c>
      <c r="R11" s="5"/>
      <c r="S11" s="5">
        <v>85</v>
      </c>
      <c r="T11" s="5">
        <v>67</v>
      </c>
      <c r="U11" s="5">
        <v>35</v>
      </c>
      <c r="V11" s="5"/>
      <c r="W11" s="5"/>
      <c r="X11" s="5"/>
      <c r="Y11" s="5">
        <v>130</v>
      </c>
      <c r="Z11" s="5"/>
      <c r="AA11" s="5"/>
      <c r="AB11" s="5"/>
      <c r="AC11" s="5">
        <v>51</v>
      </c>
      <c r="AD11" s="5">
        <v>25</v>
      </c>
      <c r="AE11" s="5"/>
      <c r="AF11" s="5"/>
      <c r="AG11" s="6">
        <f>SUM(B11:AF11)</f>
        <v>1687</v>
      </c>
    </row>
    <row r="12" spans="1:33" ht="42" customHeight="1" x14ac:dyDescent="0.25">
      <c r="A12" s="8" t="s">
        <v>5</v>
      </c>
      <c r="B12" s="9"/>
      <c r="C12" s="9"/>
      <c r="D12" s="9"/>
      <c r="E12" s="9" t="s">
        <v>652</v>
      </c>
      <c r="F12" s="9" t="s">
        <v>584</v>
      </c>
      <c r="G12" s="9"/>
      <c r="H12" s="9" t="s">
        <v>655</v>
      </c>
      <c r="I12" s="9"/>
      <c r="J12" s="9" t="s">
        <v>657</v>
      </c>
      <c r="K12" s="9" t="s">
        <v>604</v>
      </c>
      <c r="L12" s="9" t="s">
        <v>661</v>
      </c>
      <c r="M12" s="9"/>
      <c r="N12" s="9" t="s">
        <v>506</v>
      </c>
      <c r="O12" s="9" t="s">
        <v>134</v>
      </c>
      <c r="P12" s="9" t="s">
        <v>668</v>
      </c>
      <c r="Q12" s="9" t="s">
        <v>670</v>
      </c>
      <c r="R12" s="9"/>
      <c r="S12" s="9" t="s">
        <v>584</v>
      </c>
      <c r="T12" s="9" t="s">
        <v>671</v>
      </c>
      <c r="U12" s="9" t="s">
        <v>242</v>
      </c>
      <c r="V12" s="9"/>
      <c r="W12" s="9"/>
      <c r="X12" s="9"/>
      <c r="Y12" s="9" t="s">
        <v>675</v>
      </c>
      <c r="Z12" s="9"/>
      <c r="AA12" s="9"/>
      <c r="AB12" s="9"/>
      <c r="AC12" s="9" t="s">
        <v>604</v>
      </c>
      <c r="AD12" s="9" t="s">
        <v>242</v>
      </c>
      <c r="AE12" s="9"/>
      <c r="AF12" s="9"/>
      <c r="AG12" s="10"/>
    </row>
    <row r="13" spans="1:33" ht="13.2" x14ac:dyDescent="0.25">
      <c r="A13" s="7" t="s">
        <v>24</v>
      </c>
      <c r="B13" s="5">
        <v>107</v>
      </c>
      <c r="C13" s="5">
        <v>20</v>
      </c>
      <c r="D13" s="5"/>
      <c r="E13" s="5">
        <v>50</v>
      </c>
      <c r="F13" s="5"/>
      <c r="G13" s="5"/>
      <c r="H13" s="5"/>
      <c r="I13" s="5"/>
      <c r="J13" s="5">
        <v>220</v>
      </c>
      <c r="K13" s="5">
        <v>90</v>
      </c>
      <c r="L13" s="5"/>
      <c r="M13" s="5">
        <v>60</v>
      </c>
      <c r="N13" s="5">
        <v>60</v>
      </c>
      <c r="O13" s="5">
        <v>100</v>
      </c>
      <c r="P13" s="5">
        <v>110</v>
      </c>
      <c r="Q13" s="5">
        <v>60</v>
      </c>
      <c r="R13" s="5"/>
      <c r="S13" s="5"/>
      <c r="T13" s="5">
        <v>60</v>
      </c>
      <c r="U13" s="5"/>
      <c r="V13" s="5">
        <v>380</v>
      </c>
      <c r="W13" s="5"/>
      <c r="X13" s="5">
        <v>60</v>
      </c>
      <c r="Y13" s="5">
        <v>60</v>
      </c>
      <c r="Z13" s="5">
        <v>150</v>
      </c>
      <c r="AA13" s="5"/>
      <c r="AB13" s="5"/>
      <c r="AC13" s="5">
        <v>120</v>
      </c>
      <c r="AD13" s="5">
        <v>30</v>
      </c>
      <c r="AE13" s="5">
        <v>60</v>
      </c>
      <c r="AF13" s="5"/>
      <c r="AG13" s="6">
        <f>SUM(B13:AF13)</f>
        <v>1797</v>
      </c>
    </row>
    <row r="14" spans="1:33" ht="58.5" customHeight="1" x14ac:dyDescent="0.25">
      <c r="A14" s="8" t="s">
        <v>5</v>
      </c>
      <c r="B14" s="9" t="s">
        <v>566</v>
      </c>
      <c r="C14" s="9" t="s">
        <v>650</v>
      </c>
      <c r="D14" s="9"/>
      <c r="E14" s="9" t="s">
        <v>158</v>
      </c>
      <c r="F14" s="9"/>
      <c r="G14" s="9"/>
      <c r="H14" s="9"/>
      <c r="I14" s="9"/>
      <c r="J14" s="9" t="s">
        <v>656</v>
      </c>
      <c r="K14" s="9" t="s">
        <v>658</v>
      </c>
      <c r="L14" s="9"/>
      <c r="M14" s="9" t="s">
        <v>662</v>
      </c>
      <c r="N14" s="9" t="s">
        <v>527</v>
      </c>
      <c r="O14" s="9" t="s">
        <v>665</v>
      </c>
      <c r="P14" s="9" t="s">
        <v>666</v>
      </c>
      <c r="Q14" s="9" t="s">
        <v>420</v>
      </c>
      <c r="R14" s="9"/>
      <c r="S14" s="9"/>
      <c r="T14" s="9" t="s">
        <v>527</v>
      </c>
      <c r="U14" s="9"/>
      <c r="V14" s="9" t="s">
        <v>673</v>
      </c>
      <c r="W14" s="9"/>
      <c r="X14" s="9" t="s">
        <v>420</v>
      </c>
      <c r="Y14" s="9" t="s">
        <v>420</v>
      </c>
      <c r="Z14" s="9" t="s">
        <v>676</v>
      </c>
      <c r="AA14" s="9"/>
      <c r="AB14" s="9"/>
      <c r="AC14" s="9" t="s">
        <v>527</v>
      </c>
      <c r="AD14" s="9" t="s">
        <v>127</v>
      </c>
      <c r="AE14" s="9" t="s">
        <v>420</v>
      </c>
      <c r="AF14" s="9"/>
      <c r="AG14" s="10"/>
    </row>
    <row r="15" spans="1:33" ht="13.2" x14ac:dyDescent="0.25">
      <c r="A15" s="7" t="s">
        <v>44</v>
      </c>
      <c r="B15" s="5"/>
      <c r="C15" s="5"/>
      <c r="D15" s="5"/>
      <c r="E15" s="5"/>
      <c r="F15" s="5"/>
      <c r="G15" s="5">
        <v>3260</v>
      </c>
      <c r="H15" s="5"/>
      <c r="I15" s="5"/>
      <c r="J15" s="5"/>
      <c r="K15" s="5"/>
      <c r="L15" s="5">
        <v>1800</v>
      </c>
      <c r="M15" s="5"/>
      <c r="N15" s="5"/>
      <c r="O15" s="5"/>
      <c r="P15" s="5"/>
      <c r="Q15" s="5">
        <v>132</v>
      </c>
      <c r="R15" s="5"/>
      <c r="S15" s="5"/>
      <c r="T15" s="5"/>
      <c r="U15" s="5"/>
      <c r="V15" s="5">
        <v>544</v>
      </c>
      <c r="W15" s="5"/>
      <c r="X15" s="5"/>
      <c r="Y15" s="5"/>
      <c r="Z15" s="5"/>
      <c r="AA15" s="5"/>
      <c r="AB15" s="5"/>
      <c r="AC15" s="5"/>
      <c r="AD15" s="5">
        <v>121</v>
      </c>
      <c r="AE15" s="5"/>
      <c r="AF15" s="5"/>
      <c r="AG15" s="6">
        <f>SUM(B15:AF15)</f>
        <v>5857</v>
      </c>
    </row>
    <row r="16" spans="1:33" ht="17.25" customHeight="1" x14ac:dyDescent="0.25">
      <c r="A16" s="8" t="s">
        <v>5</v>
      </c>
      <c r="B16" s="9"/>
      <c r="C16" s="9"/>
      <c r="D16" s="9"/>
      <c r="E16" s="9"/>
      <c r="F16" s="9"/>
      <c r="G16" s="9" t="s">
        <v>653</v>
      </c>
      <c r="H16" s="9"/>
      <c r="I16" s="9"/>
      <c r="J16" s="9"/>
      <c r="K16" s="9"/>
      <c r="L16" s="9" t="s">
        <v>660</v>
      </c>
      <c r="M16" s="9"/>
      <c r="N16" s="9"/>
      <c r="O16" s="9"/>
      <c r="P16" s="9"/>
      <c r="Q16" s="9" t="s">
        <v>603</v>
      </c>
      <c r="R16" s="9"/>
      <c r="S16" s="9"/>
      <c r="T16" s="9"/>
      <c r="U16" s="9"/>
      <c r="V16" s="9" t="s">
        <v>672</v>
      </c>
      <c r="W16" s="9"/>
      <c r="X16" s="9"/>
      <c r="Y16" s="9"/>
      <c r="Z16" s="9"/>
      <c r="AA16" s="9"/>
      <c r="AB16" s="9"/>
      <c r="AC16" s="9"/>
      <c r="AD16" s="9" t="s">
        <v>677</v>
      </c>
      <c r="AE16" s="9"/>
      <c r="AF16" s="9"/>
      <c r="AG16" s="10"/>
    </row>
    <row r="17" spans="1:33" ht="13.2" x14ac:dyDescent="0.25">
      <c r="A17" s="7" t="s">
        <v>47</v>
      </c>
      <c r="B17" s="5">
        <v>60</v>
      </c>
      <c r="C17" s="5"/>
      <c r="D17" s="5"/>
      <c r="E17" s="5"/>
      <c r="F17" s="5"/>
      <c r="G17" s="5">
        <v>200</v>
      </c>
      <c r="H17" s="5"/>
      <c r="I17" s="5"/>
      <c r="J17" s="5"/>
      <c r="K17" s="5">
        <v>27</v>
      </c>
      <c r="L17" s="5"/>
      <c r="M17" s="5"/>
      <c r="N17" s="5">
        <v>15</v>
      </c>
      <c r="O17" s="5"/>
      <c r="P17" s="5">
        <v>140</v>
      </c>
      <c r="Q17" s="5">
        <v>300</v>
      </c>
      <c r="R17" s="5"/>
      <c r="S17" s="5"/>
      <c r="T17" s="5"/>
      <c r="U17" s="5"/>
      <c r="V17" s="5">
        <v>150</v>
      </c>
      <c r="W17" s="5"/>
      <c r="X17" s="5"/>
      <c r="Y17" s="5"/>
      <c r="Z17" s="5">
        <v>1550</v>
      </c>
      <c r="AA17" s="5"/>
      <c r="AB17" s="5"/>
      <c r="AC17" s="5"/>
      <c r="AD17" s="5"/>
      <c r="AE17" s="5"/>
      <c r="AF17" s="5"/>
      <c r="AG17" s="6">
        <f>SUM(B17:AF17)</f>
        <v>2442</v>
      </c>
    </row>
    <row r="18" spans="1:33" ht="13.2" x14ac:dyDescent="0.25">
      <c r="A18" s="8" t="s">
        <v>5</v>
      </c>
      <c r="B18" s="9" t="s">
        <v>649</v>
      </c>
      <c r="C18" s="9"/>
      <c r="D18" s="9"/>
      <c r="E18" s="9"/>
      <c r="F18" s="9"/>
      <c r="G18" s="9" t="s">
        <v>654</v>
      </c>
      <c r="H18" s="9"/>
      <c r="I18" s="9"/>
      <c r="J18" s="9"/>
      <c r="K18" s="9" t="s">
        <v>659</v>
      </c>
      <c r="L18" s="9"/>
      <c r="M18" s="9"/>
      <c r="N18" s="9" t="s">
        <v>664</v>
      </c>
      <c r="O18" s="9"/>
      <c r="P18" s="9" t="s">
        <v>667</v>
      </c>
      <c r="Q18" s="9" t="s">
        <v>669</v>
      </c>
      <c r="R18" s="9"/>
      <c r="S18" s="9"/>
      <c r="T18" s="9"/>
      <c r="U18" s="9"/>
      <c r="V18" s="9" t="s">
        <v>664</v>
      </c>
      <c r="W18" s="9"/>
      <c r="X18" s="9"/>
      <c r="Y18" s="9"/>
      <c r="Z18" s="9" t="s">
        <v>228</v>
      </c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70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70</v>
      </c>
    </row>
    <row r="24" spans="1:33" ht="13.2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 t="s">
        <v>366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>SUM(B5+B7+B9+B11+B13+B15+B17+B19+B21+B23)</f>
        <v>178</v>
      </c>
      <c r="C26" s="13">
        <v>0</v>
      </c>
      <c r="D26" s="13">
        <f t="shared" ref="D26:AG26" si="0">SUM(D5+D7+D9+D11+D13+D15+D17+D19+D21+D23)</f>
        <v>0</v>
      </c>
      <c r="E26" s="13">
        <f t="shared" si="0"/>
        <v>207</v>
      </c>
      <c r="F26" s="13">
        <f t="shared" si="0"/>
        <v>69</v>
      </c>
      <c r="G26" s="13">
        <f t="shared" si="0"/>
        <v>3760</v>
      </c>
      <c r="H26" s="13">
        <f t="shared" si="0"/>
        <v>137</v>
      </c>
      <c r="I26" s="13">
        <f t="shared" si="0"/>
        <v>0</v>
      </c>
      <c r="J26" s="13">
        <f t="shared" si="0"/>
        <v>298</v>
      </c>
      <c r="K26" s="13">
        <f t="shared" si="0"/>
        <v>2262</v>
      </c>
      <c r="L26" s="13">
        <f t="shared" si="0"/>
        <v>2250</v>
      </c>
      <c r="M26" s="13">
        <f t="shared" si="0"/>
        <v>160</v>
      </c>
      <c r="N26" s="13">
        <f t="shared" si="0"/>
        <v>563</v>
      </c>
      <c r="O26" s="13">
        <f t="shared" si="0"/>
        <v>130</v>
      </c>
      <c r="P26" s="13">
        <f t="shared" si="0"/>
        <v>399</v>
      </c>
      <c r="Q26" s="13">
        <f t="shared" si="0"/>
        <v>582</v>
      </c>
      <c r="R26" s="13">
        <f t="shared" si="0"/>
        <v>29</v>
      </c>
      <c r="S26" s="14">
        <f t="shared" si="0"/>
        <v>385</v>
      </c>
      <c r="T26" s="13">
        <f t="shared" si="0"/>
        <v>138</v>
      </c>
      <c r="U26" s="13">
        <f t="shared" si="0"/>
        <v>35</v>
      </c>
      <c r="V26" s="13">
        <f t="shared" si="0"/>
        <v>1074</v>
      </c>
      <c r="W26" s="13">
        <f t="shared" si="0"/>
        <v>0</v>
      </c>
      <c r="X26" s="13">
        <f t="shared" si="0"/>
        <v>210</v>
      </c>
      <c r="Y26" s="13">
        <f t="shared" si="0"/>
        <v>190</v>
      </c>
      <c r="Z26" s="13">
        <f t="shared" si="0"/>
        <v>1900</v>
      </c>
      <c r="AA26" s="13">
        <f t="shared" si="0"/>
        <v>0</v>
      </c>
      <c r="AB26" s="13">
        <f t="shared" si="0"/>
        <v>0</v>
      </c>
      <c r="AC26" s="13">
        <f t="shared" si="0"/>
        <v>171</v>
      </c>
      <c r="AD26" s="13">
        <f t="shared" si="0"/>
        <v>187</v>
      </c>
      <c r="AE26" s="13">
        <f t="shared" si="0"/>
        <v>60</v>
      </c>
      <c r="AF26" s="13">
        <f t="shared" si="0"/>
        <v>0</v>
      </c>
      <c r="AG26" s="15">
        <f t="shared" si="0"/>
        <v>15394</v>
      </c>
    </row>
  </sheetData>
  <mergeCells count="2">
    <mergeCell ref="A1:A2"/>
    <mergeCell ref="B1:AG2"/>
  </mergeCells>
  <pageMargins left="0" right="0" top="0" bottom="0" header="0" footer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8252-41CD-4D6A-AFF2-74E8347598A7}">
  <sheetPr>
    <outlinePr summaryBelow="0" summaryRight="0"/>
  </sheetPr>
  <dimension ref="A1:AG26"/>
  <sheetViews>
    <sheetView showGridLines="0" zoomScale="73" workbookViewId="0">
      <pane xSplit="1" ySplit="3" topLeftCell="AF4" activePane="bottomRight" state="frozen"/>
      <selection pane="topRight" activeCell="B1" sqref="B1"/>
      <selection pane="bottomLeft" activeCell="A4" sqref="A4"/>
      <selection pane="bottomRight" activeCell="AF7" sqref="AF7"/>
    </sheetView>
  </sheetViews>
  <sheetFormatPr defaultColWidth="12.5546875" defaultRowHeight="15.75" customHeight="1" x14ac:dyDescent="0.25"/>
  <cols>
    <col min="1" max="1" width="27.6640625" customWidth="1"/>
    <col min="2" max="2" width="10.441406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11.3320312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>
        <v>2</v>
      </c>
      <c r="C5" s="5"/>
      <c r="D5" s="5"/>
      <c r="E5" s="5"/>
      <c r="F5" s="5"/>
      <c r="G5" s="5"/>
      <c r="H5" s="5"/>
      <c r="I5" s="5"/>
      <c r="J5" s="5">
        <v>182</v>
      </c>
      <c r="K5" s="5"/>
      <c r="L5" s="5"/>
      <c r="M5" s="5">
        <v>239</v>
      </c>
      <c r="N5" s="5"/>
      <c r="O5" s="5">
        <v>100</v>
      </c>
      <c r="P5" s="5"/>
      <c r="Q5" s="5"/>
      <c r="R5" s="5">
        <v>579</v>
      </c>
      <c r="S5" s="5"/>
      <c r="T5" s="5"/>
      <c r="U5" s="5"/>
      <c r="V5" s="5"/>
      <c r="W5" s="5"/>
      <c r="X5" s="5"/>
      <c r="Y5" s="5"/>
      <c r="Z5" s="5"/>
      <c r="AA5" s="5">
        <v>11</v>
      </c>
      <c r="AB5" s="5"/>
      <c r="AC5" s="5"/>
      <c r="AD5" s="5"/>
      <c r="AE5" s="5"/>
      <c r="AF5" s="5">
        <v>579</v>
      </c>
      <c r="AG5" s="6">
        <f>SUM(B5:AF5)</f>
        <v>1692</v>
      </c>
    </row>
    <row r="6" spans="1:33" ht="26.4" x14ac:dyDescent="0.25">
      <c r="A6" s="8" t="s">
        <v>5</v>
      </c>
      <c r="B6" s="9" t="s">
        <v>618</v>
      </c>
      <c r="C6" s="9"/>
      <c r="D6" s="9"/>
      <c r="E6" s="9"/>
      <c r="F6" s="9"/>
      <c r="G6" s="9"/>
      <c r="H6" s="9"/>
      <c r="I6" s="9"/>
      <c r="J6" s="9" t="s">
        <v>632</v>
      </c>
      <c r="K6" s="9"/>
      <c r="L6" s="9"/>
      <c r="M6" s="9" t="s">
        <v>633</v>
      </c>
      <c r="N6" s="9"/>
      <c r="O6" s="9" t="s">
        <v>636</v>
      </c>
      <c r="P6" s="9"/>
      <c r="Q6" s="9"/>
      <c r="R6" s="9" t="s">
        <v>644</v>
      </c>
      <c r="S6" s="9"/>
      <c r="T6" s="9"/>
      <c r="U6" s="9"/>
      <c r="V6" s="9"/>
      <c r="W6" s="9"/>
      <c r="X6" s="9"/>
      <c r="Y6" s="9"/>
      <c r="Z6" s="9"/>
      <c r="AA6" s="9" t="s">
        <v>232</v>
      </c>
      <c r="AB6" s="9"/>
      <c r="AC6" s="9"/>
      <c r="AD6" s="9"/>
      <c r="AE6" s="9"/>
      <c r="AF6" s="9" t="s">
        <v>109</v>
      </c>
      <c r="AG6" s="10"/>
    </row>
    <row r="7" spans="1:33" ht="26.4" x14ac:dyDescent="0.25">
      <c r="A7" s="7" t="s">
        <v>15</v>
      </c>
      <c r="B7" s="5"/>
      <c r="C7" s="5"/>
      <c r="D7" s="5"/>
      <c r="E7" s="5"/>
      <c r="F7" s="5">
        <v>1000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1000</v>
      </c>
    </row>
    <row r="8" spans="1:33" ht="13.2" x14ac:dyDescent="0.25">
      <c r="A8" s="8" t="s">
        <v>5</v>
      </c>
      <c r="B8" s="9"/>
      <c r="C8" s="9"/>
      <c r="D8" s="9"/>
      <c r="E8" s="9"/>
      <c r="F8" s="9" t="s">
        <v>624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/>
      <c r="D9" s="5"/>
      <c r="E9" s="5"/>
      <c r="F9" s="5">
        <v>100</v>
      </c>
      <c r="G9" s="5">
        <v>340</v>
      </c>
      <c r="H9" s="5"/>
      <c r="I9" s="5">
        <v>150</v>
      </c>
      <c r="J9" s="5"/>
      <c r="K9" s="5">
        <v>200</v>
      </c>
      <c r="L9" s="5"/>
      <c r="M9" s="5">
        <v>150</v>
      </c>
      <c r="N9" s="5"/>
      <c r="O9" s="5"/>
      <c r="P9" s="5">
        <v>200</v>
      </c>
      <c r="Q9" s="5"/>
      <c r="R9" s="5">
        <v>200</v>
      </c>
      <c r="S9" s="5"/>
      <c r="T9" s="5">
        <v>200</v>
      </c>
      <c r="U9" s="5"/>
      <c r="V9" s="5"/>
      <c r="W9" s="5"/>
      <c r="X9" s="5">
        <v>100</v>
      </c>
      <c r="Y9" s="5">
        <v>100</v>
      </c>
      <c r="Z9" s="5">
        <v>100</v>
      </c>
      <c r="AA9" s="5"/>
      <c r="AB9" s="5"/>
      <c r="AC9" s="5">
        <v>200</v>
      </c>
      <c r="AD9" s="5"/>
      <c r="AE9" s="5"/>
      <c r="AF9" s="5">
        <v>200</v>
      </c>
      <c r="AG9" s="6">
        <f>SUM(B9:AF9)</f>
        <v>2240</v>
      </c>
    </row>
    <row r="10" spans="1:33" ht="33.75" customHeight="1" x14ac:dyDescent="0.25">
      <c r="A10" s="8" t="s">
        <v>5</v>
      </c>
      <c r="B10" s="9"/>
      <c r="C10" s="9"/>
      <c r="D10" s="9"/>
      <c r="E10" s="9"/>
      <c r="F10" s="9" t="s">
        <v>18</v>
      </c>
      <c r="G10" s="9" t="s">
        <v>626</v>
      </c>
      <c r="H10" s="9"/>
      <c r="I10" s="9" t="s">
        <v>17</v>
      </c>
      <c r="J10" s="9"/>
      <c r="K10" s="9" t="s">
        <v>18</v>
      </c>
      <c r="L10" s="9"/>
      <c r="M10" s="9" t="s">
        <v>18</v>
      </c>
      <c r="N10" s="9"/>
      <c r="O10" s="9"/>
      <c r="P10" s="9" t="s">
        <v>18</v>
      </c>
      <c r="Q10" s="9"/>
      <c r="R10" s="9" t="s">
        <v>17</v>
      </c>
      <c r="S10" s="9"/>
      <c r="T10" s="9" t="s">
        <v>17</v>
      </c>
      <c r="U10" s="9"/>
      <c r="V10" s="9"/>
      <c r="W10" s="9"/>
      <c r="X10" s="9" t="s">
        <v>683</v>
      </c>
      <c r="Y10" s="9" t="s">
        <v>682</v>
      </c>
      <c r="Z10" s="9" t="s">
        <v>683</v>
      </c>
      <c r="AA10" s="9"/>
      <c r="AB10" s="9"/>
      <c r="AC10" s="9" t="s">
        <v>17</v>
      </c>
      <c r="AD10" s="9"/>
      <c r="AE10" s="9"/>
      <c r="AF10" s="9" t="s">
        <v>18</v>
      </c>
      <c r="AG10" s="10"/>
    </row>
    <row r="11" spans="1:33" ht="13.2" x14ac:dyDescent="0.25">
      <c r="A11" s="7" t="s">
        <v>21</v>
      </c>
      <c r="B11" s="5"/>
      <c r="C11" s="5">
        <v>22</v>
      </c>
      <c r="D11" s="5">
        <v>69</v>
      </c>
      <c r="E11" s="5">
        <v>105</v>
      </c>
      <c r="F11" s="5"/>
      <c r="G11" s="5">
        <v>183</v>
      </c>
      <c r="H11" s="5"/>
      <c r="I11" s="5"/>
      <c r="J11" s="5">
        <v>35</v>
      </c>
      <c r="K11" s="5"/>
      <c r="L11" s="5"/>
      <c r="M11" s="5">
        <v>70</v>
      </c>
      <c r="N11" s="5"/>
      <c r="O11" s="5">
        <v>255</v>
      </c>
      <c r="P11" s="5">
        <v>34</v>
      </c>
      <c r="Q11" s="5">
        <v>70</v>
      </c>
      <c r="R11" s="5"/>
      <c r="S11" s="5">
        <v>20</v>
      </c>
      <c r="T11" s="5"/>
      <c r="U11" s="5"/>
      <c r="V11" s="5">
        <v>27</v>
      </c>
      <c r="W11" s="5">
        <v>20</v>
      </c>
      <c r="X11" s="5"/>
      <c r="Y11" s="5">
        <v>45</v>
      </c>
      <c r="Z11" s="5"/>
      <c r="AA11" s="5"/>
      <c r="AB11" s="5">
        <v>210</v>
      </c>
      <c r="AC11" s="5"/>
      <c r="AD11" s="5"/>
      <c r="AE11" s="5"/>
      <c r="AF11" s="5"/>
      <c r="AG11" s="6">
        <f>SUM(B11:AF11)</f>
        <v>1165</v>
      </c>
    </row>
    <row r="12" spans="1:33" ht="42" customHeight="1" x14ac:dyDescent="0.25">
      <c r="A12" s="8" t="s">
        <v>5</v>
      </c>
      <c r="B12" s="9"/>
      <c r="C12" s="9" t="s">
        <v>242</v>
      </c>
      <c r="D12" s="9" t="s">
        <v>152</v>
      </c>
      <c r="E12" s="9" t="s">
        <v>623</v>
      </c>
      <c r="F12" s="9"/>
      <c r="G12" s="9" t="s">
        <v>603</v>
      </c>
      <c r="H12" s="9"/>
      <c r="I12" s="9"/>
      <c r="J12" s="9" t="s">
        <v>242</v>
      </c>
      <c r="K12" s="9"/>
      <c r="L12" s="9"/>
      <c r="M12" s="9" t="s">
        <v>242</v>
      </c>
      <c r="N12" s="9"/>
      <c r="O12" s="9" t="s">
        <v>239</v>
      </c>
      <c r="P12" s="9" t="s">
        <v>638</v>
      </c>
      <c r="Q12" s="9" t="s">
        <v>642</v>
      </c>
      <c r="R12" s="9"/>
      <c r="S12" s="9" t="s">
        <v>241</v>
      </c>
      <c r="T12" s="9"/>
      <c r="U12" s="9"/>
      <c r="V12" s="9" t="s">
        <v>678</v>
      </c>
      <c r="W12" s="9" t="s">
        <v>679</v>
      </c>
      <c r="X12" s="9"/>
      <c r="Y12" s="9" t="s">
        <v>684</v>
      </c>
      <c r="Z12" s="9"/>
      <c r="AA12" s="9"/>
      <c r="AB12" s="9" t="s">
        <v>686</v>
      </c>
      <c r="AC12" s="9"/>
      <c r="AD12" s="9"/>
      <c r="AE12" s="9"/>
      <c r="AF12" s="9"/>
      <c r="AG12" s="10"/>
    </row>
    <row r="13" spans="1:33" ht="13.2" x14ac:dyDescent="0.25">
      <c r="A13" s="7" t="s">
        <v>24</v>
      </c>
      <c r="B13" s="5"/>
      <c r="C13" s="5">
        <v>120</v>
      </c>
      <c r="D13" s="5"/>
      <c r="E13" s="5">
        <v>90</v>
      </c>
      <c r="F13" s="5"/>
      <c r="G13" s="5">
        <v>70</v>
      </c>
      <c r="H13" s="5"/>
      <c r="I13" s="5">
        <v>70</v>
      </c>
      <c r="J13" s="5">
        <v>60</v>
      </c>
      <c r="K13" s="5"/>
      <c r="L13" s="5">
        <v>20</v>
      </c>
      <c r="M13" s="5">
        <v>10</v>
      </c>
      <c r="N13" s="5"/>
      <c r="O13" s="5">
        <v>20</v>
      </c>
      <c r="P13" s="5"/>
      <c r="Q13" s="5">
        <v>1</v>
      </c>
      <c r="R13" s="5">
        <v>75</v>
      </c>
      <c r="S13" s="5">
        <v>40</v>
      </c>
      <c r="T13" s="5">
        <v>20</v>
      </c>
      <c r="U13" s="5">
        <v>150</v>
      </c>
      <c r="V13" s="5"/>
      <c r="W13" s="5">
        <v>20</v>
      </c>
      <c r="X13" s="5">
        <v>162</v>
      </c>
      <c r="Y13" s="5">
        <v>190</v>
      </c>
      <c r="Z13" s="5">
        <v>40</v>
      </c>
      <c r="AA13" s="5"/>
      <c r="AB13" s="5">
        <v>20</v>
      </c>
      <c r="AC13" s="5">
        <v>105</v>
      </c>
      <c r="AD13" s="5">
        <v>150</v>
      </c>
      <c r="AE13" s="5">
        <v>202</v>
      </c>
      <c r="AF13" s="5">
        <v>60</v>
      </c>
      <c r="AG13" s="6">
        <f>SUM(B13:AF13)</f>
        <v>1695</v>
      </c>
    </row>
    <row r="14" spans="1:33" ht="58.5" customHeight="1" x14ac:dyDescent="0.25">
      <c r="A14" s="8" t="s">
        <v>5</v>
      </c>
      <c r="B14" s="9"/>
      <c r="C14" s="9" t="s">
        <v>420</v>
      </c>
      <c r="D14" s="9"/>
      <c r="E14" s="9" t="s">
        <v>622</v>
      </c>
      <c r="F14" s="9"/>
      <c r="G14" s="9" t="s">
        <v>627</v>
      </c>
      <c r="H14" s="9"/>
      <c r="I14" s="9" t="s">
        <v>630</v>
      </c>
      <c r="J14" s="9" t="s">
        <v>293</v>
      </c>
      <c r="K14" s="9"/>
      <c r="L14" s="9" t="s">
        <v>75</v>
      </c>
      <c r="M14" s="9" t="s">
        <v>634</v>
      </c>
      <c r="N14" s="9"/>
      <c r="O14" s="9" t="s">
        <v>93</v>
      </c>
      <c r="P14" s="9"/>
      <c r="Q14" s="9" t="s">
        <v>641</v>
      </c>
      <c r="R14" s="9" t="s">
        <v>643</v>
      </c>
      <c r="S14" s="9" t="s">
        <v>351</v>
      </c>
      <c r="T14" s="9" t="s">
        <v>241</v>
      </c>
      <c r="U14" s="9" t="s">
        <v>647</v>
      </c>
      <c r="V14" s="9"/>
      <c r="W14" s="9" t="s">
        <v>509</v>
      </c>
      <c r="X14" s="9" t="s">
        <v>680</v>
      </c>
      <c r="Y14" s="9" t="s">
        <v>681</v>
      </c>
      <c r="Z14" s="9" t="s">
        <v>685</v>
      </c>
      <c r="AA14" s="9"/>
      <c r="AB14" s="9" t="s">
        <v>39</v>
      </c>
      <c r="AC14" s="9" t="s">
        <v>39</v>
      </c>
      <c r="AD14" s="9" t="s">
        <v>687</v>
      </c>
      <c r="AE14" s="9" t="s">
        <v>688</v>
      </c>
      <c r="AF14" s="9" t="s">
        <v>689</v>
      </c>
      <c r="AG14" s="10"/>
    </row>
    <row r="15" spans="1:33" ht="13.2" x14ac:dyDescent="0.25">
      <c r="A15" s="7" t="s">
        <v>44</v>
      </c>
      <c r="B15" s="5"/>
      <c r="C15" s="5">
        <v>180</v>
      </c>
      <c r="D15" s="5"/>
      <c r="E15" s="5">
        <v>300</v>
      </c>
      <c r="F15" s="5"/>
      <c r="G15" s="5">
        <v>1780</v>
      </c>
      <c r="H15" s="5"/>
      <c r="I15" s="5">
        <v>363</v>
      </c>
      <c r="J15" s="5"/>
      <c r="K15" s="5"/>
      <c r="L15" s="5">
        <v>8</v>
      </c>
      <c r="M15" s="5"/>
      <c r="N15" s="5">
        <v>79</v>
      </c>
      <c r="O15" s="5"/>
      <c r="P15" s="5">
        <v>268</v>
      </c>
      <c r="Q15" s="5">
        <v>55</v>
      </c>
      <c r="R15" s="5"/>
      <c r="S15" s="5"/>
      <c r="T15" s="5"/>
      <c r="U15" s="5">
        <v>500</v>
      </c>
      <c r="V15" s="5"/>
      <c r="W15" s="5"/>
      <c r="X15" s="5"/>
      <c r="Y15" s="5"/>
      <c r="Z15" s="5"/>
      <c r="AA15" s="5">
        <v>4</v>
      </c>
      <c r="AB15" s="5"/>
      <c r="AC15" s="5"/>
      <c r="AD15" s="5"/>
      <c r="AE15" s="5"/>
      <c r="AF15" s="5"/>
      <c r="AG15" s="6">
        <f>SUM(B15:AF15)</f>
        <v>3537</v>
      </c>
    </row>
    <row r="16" spans="1:33" ht="17.25" customHeight="1" x14ac:dyDescent="0.25">
      <c r="A16" s="8" t="s">
        <v>5</v>
      </c>
      <c r="B16" s="9"/>
      <c r="C16" s="9" t="s">
        <v>620</v>
      </c>
      <c r="D16" s="9"/>
      <c r="E16" s="9" t="s">
        <v>621</v>
      </c>
      <c r="F16" s="9"/>
      <c r="G16" s="9" t="s">
        <v>625</v>
      </c>
      <c r="H16" s="9"/>
      <c r="I16" s="9" t="s">
        <v>631</v>
      </c>
      <c r="J16" s="9"/>
      <c r="K16" s="9"/>
      <c r="L16" s="9" t="s">
        <v>58</v>
      </c>
      <c r="M16" s="9"/>
      <c r="N16" s="9" t="s">
        <v>635</v>
      </c>
      <c r="O16" s="9"/>
      <c r="P16" s="9" t="s">
        <v>639</v>
      </c>
      <c r="Q16" s="9" t="s">
        <v>640</v>
      </c>
      <c r="R16" s="9"/>
      <c r="S16" s="9"/>
      <c r="T16" s="9"/>
      <c r="U16" s="9" t="s">
        <v>648</v>
      </c>
      <c r="V16" s="9"/>
      <c r="W16" s="9"/>
      <c r="X16" s="9"/>
      <c r="Y16" s="9"/>
      <c r="Z16" s="9"/>
      <c r="AA16" s="9" t="s">
        <v>58</v>
      </c>
      <c r="AB16" s="9"/>
      <c r="AC16" s="9"/>
      <c r="AD16" s="9"/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>
        <v>1185</v>
      </c>
      <c r="I17" s="5"/>
      <c r="J17" s="5"/>
      <c r="K17" s="5"/>
      <c r="L17" s="5"/>
      <c r="M17" s="5"/>
      <c r="N17" s="5"/>
      <c r="O17" s="5"/>
      <c r="P17" s="5">
        <v>700</v>
      </c>
      <c r="Q17" s="5"/>
      <c r="R17" s="5">
        <v>300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f>SUM(B17:AF17)</f>
        <v>2185</v>
      </c>
    </row>
    <row r="18" spans="1:33" ht="52.8" x14ac:dyDescent="0.25">
      <c r="A18" s="8" t="s">
        <v>5</v>
      </c>
      <c r="B18" s="9"/>
      <c r="C18" s="9"/>
      <c r="D18" s="9"/>
      <c r="E18" s="9"/>
      <c r="F18" s="9"/>
      <c r="G18" s="9"/>
      <c r="H18" s="9" t="s">
        <v>629</v>
      </c>
      <c r="I18" s="9"/>
      <c r="J18" s="9"/>
      <c r="K18" s="9"/>
      <c r="L18" s="9"/>
      <c r="M18" s="9"/>
      <c r="N18" s="9"/>
      <c r="O18" s="9"/>
      <c r="P18" s="9" t="s">
        <v>458</v>
      </c>
      <c r="Q18" s="9"/>
      <c r="R18" s="9" t="s">
        <v>645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224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224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 t="s">
        <v>646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>
        <v>1290</v>
      </c>
      <c r="C23" s="5"/>
      <c r="D23" s="5"/>
      <c r="E23" s="5"/>
      <c r="F23" s="5"/>
      <c r="G23" s="5"/>
      <c r="H23" s="5"/>
      <c r="I23" s="5">
        <v>130</v>
      </c>
      <c r="J23" s="5"/>
      <c r="K23" s="5"/>
      <c r="L23" s="5"/>
      <c r="M23" s="5"/>
      <c r="N23" s="5"/>
      <c r="O23" s="5">
        <v>30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1450</v>
      </c>
    </row>
    <row r="24" spans="1:33" ht="39.6" x14ac:dyDescent="0.25">
      <c r="A24" s="8" t="s">
        <v>5</v>
      </c>
      <c r="B24" s="9" t="s">
        <v>619</v>
      </c>
      <c r="C24" s="9"/>
      <c r="D24" s="9"/>
      <c r="E24" s="9"/>
      <c r="F24" s="9"/>
      <c r="G24" s="9"/>
      <c r="H24" s="9"/>
      <c r="I24" s="9" t="s">
        <v>628</v>
      </c>
      <c r="J24" s="9"/>
      <c r="K24" s="9"/>
      <c r="L24" s="9"/>
      <c r="M24" s="9"/>
      <c r="N24" s="9"/>
      <c r="O24" s="9" t="s">
        <v>637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>SUM(B5+B7+B9+B11+B13+B15+B17+B19+B21+B23)</f>
        <v>1292</v>
      </c>
      <c r="C26" s="13">
        <v>0</v>
      </c>
      <c r="D26" s="13">
        <f t="shared" ref="D26:AG26" si="0">SUM(D5+D7+D9+D11+D13+D15+D17+D19+D21+D23)</f>
        <v>69</v>
      </c>
      <c r="E26" s="13">
        <f t="shared" si="0"/>
        <v>495</v>
      </c>
      <c r="F26" s="13">
        <f t="shared" si="0"/>
        <v>1100</v>
      </c>
      <c r="G26" s="13">
        <f t="shared" si="0"/>
        <v>2373</v>
      </c>
      <c r="H26" s="13">
        <f t="shared" si="0"/>
        <v>1185</v>
      </c>
      <c r="I26" s="13">
        <f t="shared" si="0"/>
        <v>713</v>
      </c>
      <c r="J26" s="13">
        <f t="shared" si="0"/>
        <v>277</v>
      </c>
      <c r="K26" s="13">
        <f t="shared" si="0"/>
        <v>200</v>
      </c>
      <c r="L26" s="13">
        <f t="shared" si="0"/>
        <v>28</v>
      </c>
      <c r="M26" s="13">
        <f t="shared" si="0"/>
        <v>469</v>
      </c>
      <c r="N26" s="13">
        <f t="shared" si="0"/>
        <v>79</v>
      </c>
      <c r="O26" s="13">
        <f t="shared" si="0"/>
        <v>405</v>
      </c>
      <c r="P26" s="13">
        <f t="shared" si="0"/>
        <v>1202</v>
      </c>
      <c r="Q26" s="13">
        <f t="shared" si="0"/>
        <v>126</v>
      </c>
      <c r="R26" s="13">
        <f t="shared" si="0"/>
        <v>1154</v>
      </c>
      <c r="S26" s="14">
        <f t="shared" si="0"/>
        <v>284</v>
      </c>
      <c r="T26" s="13">
        <f t="shared" si="0"/>
        <v>220</v>
      </c>
      <c r="U26" s="13">
        <f t="shared" si="0"/>
        <v>650</v>
      </c>
      <c r="V26" s="13">
        <f t="shared" si="0"/>
        <v>27</v>
      </c>
      <c r="W26" s="13">
        <f t="shared" si="0"/>
        <v>40</v>
      </c>
      <c r="X26" s="13">
        <f t="shared" si="0"/>
        <v>262</v>
      </c>
      <c r="Y26" s="13">
        <f t="shared" si="0"/>
        <v>335</v>
      </c>
      <c r="Z26" s="13">
        <f t="shared" si="0"/>
        <v>140</v>
      </c>
      <c r="AA26" s="13">
        <f t="shared" si="0"/>
        <v>15</v>
      </c>
      <c r="AB26" s="13">
        <f t="shared" si="0"/>
        <v>230</v>
      </c>
      <c r="AC26" s="13">
        <f t="shared" si="0"/>
        <v>305</v>
      </c>
      <c r="AD26" s="13">
        <f t="shared" si="0"/>
        <v>150</v>
      </c>
      <c r="AE26" s="13">
        <f t="shared" si="0"/>
        <v>202</v>
      </c>
      <c r="AF26" s="13">
        <f t="shared" si="0"/>
        <v>839</v>
      </c>
      <c r="AG26" s="15">
        <f t="shared" si="0"/>
        <v>15188</v>
      </c>
    </row>
  </sheetData>
  <mergeCells count="2">
    <mergeCell ref="A1:A2"/>
    <mergeCell ref="B1:AG2"/>
  </mergeCells>
  <pageMargins left="0" right="0" top="0" bottom="0" header="0" footer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6711-C893-4529-8D44-29C62E3AD09B}">
  <sheetPr>
    <outlinePr summaryBelow="0" summaryRight="0"/>
  </sheetPr>
  <dimension ref="A1:AG26"/>
  <sheetViews>
    <sheetView showGridLines="0" zoomScale="64" workbookViewId="0">
      <pane xSplit="1" ySplit="3" topLeftCell="AD4" activePane="bottomRight" state="frozen"/>
      <selection pane="topRight" activeCell="B1" sqref="B1"/>
      <selection pane="bottomLeft" activeCell="A4" sqref="A4"/>
      <selection pane="bottomRight" activeCell="M9" sqref="M9"/>
    </sheetView>
  </sheetViews>
  <sheetFormatPr defaultColWidth="12.5546875" defaultRowHeight="15.75" customHeight="1" x14ac:dyDescent="0.25"/>
  <cols>
    <col min="1" max="1" width="27.6640625" customWidth="1"/>
    <col min="2" max="2" width="10.441406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11.3320312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>
        <v>10000</v>
      </c>
      <c r="C5" s="5"/>
      <c r="D5" s="5"/>
      <c r="E5" s="5"/>
      <c r="F5" s="5"/>
      <c r="G5" s="5">
        <v>19500</v>
      </c>
      <c r="H5" s="5"/>
      <c r="I5" s="18">
        <v>11</v>
      </c>
      <c r="J5" s="18">
        <v>11</v>
      </c>
      <c r="K5" s="5">
        <v>286</v>
      </c>
      <c r="L5" s="5"/>
      <c r="M5" s="1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>
        <f>SUM(B5:AF5)</f>
        <v>29808</v>
      </c>
    </row>
    <row r="6" spans="1:33" ht="13.2" x14ac:dyDescent="0.25">
      <c r="A6" s="8" t="s">
        <v>5</v>
      </c>
      <c r="B6" s="9" t="s">
        <v>691</v>
      </c>
      <c r="C6" s="9"/>
      <c r="D6" s="9"/>
      <c r="E6" s="9"/>
      <c r="F6" s="9"/>
      <c r="G6" s="9" t="s">
        <v>703</v>
      </c>
      <c r="H6" s="9"/>
      <c r="I6" s="9" t="s">
        <v>195</v>
      </c>
      <c r="J6" s="9" t="s">
        <v>706</v>
      </c>
      <c r="K6" s="9" t="s">
        <v>707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>
        <v>150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150</v>
      </c>
    </row>
    <row r="8" spans="1:33" ht="13.2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 t="s">
        <v>372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/>
      <c r="D9" s="18">
        <v>200</v>
      </c>
      <c r="E9" s="5"/>
      <c r="F9" s="5"/>
      <c r="G9" s="5"/>
      <c r="H9" s="5"/>
      <c r="I9" s="5">
        <v>400</v>
      </c>
      <c r="J9" s="5"/>
      <c r="K9" s="18">
        <v>100</v>
      </c>
      <c r="L9" s="5"/>
      <c r="M9" s="18">
        <v>199</v>
      </c>
      <c r="N9" s="18">
        <v>200</v>
      </c>
      <c r="O9" s="5"/>
      <c r="P9" s="5"/>
      <c r="Q9" s="5"/>
      <c r="R9" s="5"/>
      <c r="S9" s="18">
        <v>100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18">
        <v>150</v>
      </c>
      <c r="AF9" s="5">
        <v>70</v>
      </c>
      <c r="AG9" s="6">
        <f>SUM(B9:AF9)</f>
        <v>1419</v>
      </c>
    </row>
    <row r="10" spans="1:33" ht="33.75" customHeight="1" x14ac:dyDescent="0.25">
      <c r="A10" s="8" t="s">
        <v>5</v>
      </c>
      <c r="B10" s="9"/>
      <c r="C10" s="9"/>
      <c r="D10" s="9" t="s">
        <v>698</v>
      </c>
      <c r="E10" s="9"/>
      <c r="F10" s="9"/>
      <c r="G10" s="9"/>
      <c r="H10" s="9"/>
      <c r="I10" s="9" t="s">
        <v>322</v>
      </c>
      <c r="J10" s="9"/>
      <c r="K10" s="9" t="s">
        <v>18</v>
      </c>
      <c r="L10" s="9"/>
      <c r="M10" s="9" t="s">
        <v>376</v>
      </c>
      <c r="N10" s="9" t="s">
        <v>18</v>
      </c>
      <c r="O10" s="9"/>
      <c r="P10" s="9"/>
      <c r="Q10" s="9"/>
      <c r="R10" s="9"/>
      <c r="S10" s="9" t="s">
        <v>720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 t="s">
        <v>735</v>
      </c>
      <c r="AF10" s="9" t="s">
        <v>469</v>
      </c>
      <c r="AG10" s="10"/>
    </row>
    <row r="11" spans="1:33" ht="13.2" x14ac:dyDescent="0.25">
      <c r="A11" s="7" t="s">
        <v>21</v>
      </c>
      <c r="B11" s="5"/>
      <c r="C11" s="17">
        <v>24</v>
      </c>
      <c r="D11" s="18">
        <v>35</v>
      </c>
      <c r="E11" s="5"/>
      <c r="F11" s="5"/>
      <c r="G11" s="5"/>
      <c r="H11" s="5"/>
      <c r="I11" s="5"/>
      <c r="J11" s="18">
        <v>89</v>
      </c>
      <c r="K11" s="18">
        <v>31</v>
      </c>
      <c r="L11" s="18">
        <v>17</v>
      </c>
      <c r="M11" s="5">
        <v>30</v>
      </c>
      <c r="N11" s="5"/>
      <c r="O11" s="5"/>
      <c r="P11" s="5"/>
      <c r="Q11" s="5"/>
      <c r="R11" s="5">
        <v>60</v>
      </c>
      <c r="S11" s="5"/>
      <c r="T11" s="5"/>
      <c r="U11" s="5"/>
      <c r="V11" s="5"/>
      <c r="W11" s="5"/>
      <c r="X11" s="18">
        <v>20</v>
      </c>
      <c r="Y11" s="5"/>
      <c r="Z11" s="5"/>
      <c r="AA11" s="5"/>
      <c r="AB11" s="5"/>
      <c r="AC11" s="5"/>
      <c r="AD11" s="5"/>
      <c r="AE11" s="5"/>
      <c r="AF11" s="5"/>
      <c r="AG11" s="6">
        <f>SUM(B11:AF11)</f>
        <v>306</v>
      </c>
    </row>
    <row r="12" spans="1:33" ht="42" customHeight="1" x14ac:dyDescent="0.25">
      <c r="A12" s="8" t="s">
        <v>5</v>
      </c>
      <c r="B12" s="9"/>
      <c r="C12" s="9" t="s">
        <v>694</v>
      </c>
      <c r="D12" s="9" t="s">
        <v>696</v>
      </c>
      <c r="E12" s="9"/>
      <c r="F12" s="9"/>
      <c r="G12" s="9"/>
      <c r="H12" s="9"/>
      <c r="I12" s="9"/>
      <c r="J12" s="9" t="s">
        <v>195</v>
      </c>
      <c r="K12" s="9" t="s">
        <v>154</v>
      </c>
      <c r="L12" s="9" t="s">
        <v>241</v>
      </c>
      <c r="M12" s="9" t="s">
        <v>711</v>
      </c>
      <c r="N12" s="9"/>
      <c r="O12" s="9"/>
      <c r="P12" s="9"/>
      <c r="Q12" s="9"/>
      <c r="R12" s="9" t="s">
        <v>718</v>
      </c>
      <c r="S12" s="9"/>
      <c r="T12" s="9"/>
      <c r="U12" s="9"/>
      <c r="V12" s="9"/>
      <c r="W12" s="9"/>
      <c r="X12" s="9" t="s">
        <v>725</v>
      </c>
      <c r="Y12" s="9"/>
      <c r="Z12" s="9"/>
      <c r="AA12" s="9"/>
      <c r="AB12" s="9"/>
      <c r="AC12" s="9"/>
      <c r="AD12" s="9"/>
      <c r="AE12" s="9"/>
      <c r="AF12" s="9"/>
      <c r="AG12" s="10"/>
    </row>
    <row r="13" spans="1:33" ht="13.2" x14ac:dyDescent="0.25">
      <c r="A13" s="7" t="s">
        <v>24</v>
      </c>
      <c r="B13" s="5">
        <v>40</v>
      </c>
      <c r="C13" s="18">
        <v>105</v>
      </c>
      <c r="D13" s="18">
        <v>715</v>
      </c>
      <c r="E13" s="5">
        <v>125</v>
      </c>
      <c r="F13" s="5">
        <v>290</v>
      </c>
      <c r="G13" s="5">
        <v>115</v>
      </c>
      <c r="H13" s="5">
        <v>155</v>
      </c>
      <c r="I13" s="18">
        <v>135</v>
      </c>
      <c r="J13" s="5"/>
      <c r="K13" s="18">
        <v>50</v>
      </c>
      <c r="L13" s="18">
        <v>96</v>
      </c>
      <c r="M13" s="18">
        <v>180</v>
      </c>
      <c r="N13" s="5">
        <v>100</v>
      </c>
      <c r="O13" s="18">
        <v>320</v>
      </c>
      <c r="P13" s="5">
        <v>80</v>
      </c>
      <c r="Q13" s="5">
        <v>80</v>
      </c>
      <c r="R13" s="5"/>
      <c r="S13" s="5">
        <v>32</v>
      </c>
      <c r="T13" s="5">
        <v>52</v>
      </c>
      <c r="U13" s="18">
        <v>122</v>
      </c>
      <c r="V13" s="18">
        <v>167</v>
      </c>
      <c r="W13" s="18">
        <v>122</v>
      </c>
      <c r="X13" s="5"/>
      <c r="Y13" s="5">
        <v>92</v>
      </c>
      <c r="Z13" s="5">
        <v>96</v>
      </c>
      <c r="AA13" s="5">
        <v>152</v>
      </c>
      <c r="AB13" s="20">
        <v>164</v>
      </c>
      <c r="AC13" s="18">
        <v>301</v>
      </c>
      <c r="AD13" s="20">
        <v>259</v>
      </c>
      <c r="AE13" s="21">
        <v>260</v>
      </c>
      <c r="AF13" s="18">
        <v>46</v>
      </c>
      <c r="AG13" s="6">
        <f>SUM(B13:AF13)</f>
        <v>4451</v>
      </c>
    </row>
    <row r="14" spans="1:33" ht="58.5" customHeight="1" x14ac:dyDescent="0.25">
      <c r="A14" s="8" t="s">
        <v>5</v>
      </c>
      <c r="B14" s="9" t="s">
        <v>690</v>
      </c>
      <c r="C14" s="9" t="s">
        <v>693</v>
      </c>
      <c r="D14" s="9" t="s">
        <v>695</v>
      </c>
      <c r="E14" s="9" t="s">
        <v>699</v>
      </c>
      <c r="F14" s="9" t="s">
        <v>700</v>
      </c>
      <c r="G14" s="9" t="s">
        <v>702</v>
      </c>
      <c r="H14" s="9" t="s">
        <v>704</v>
      </c>
      <c r="I14" s="9" t="s">
        <v>705</v>
      </c>
      <c r="J14" s="9"/>
      <c r="K14" s="9" t="s">
        <v>39</v>
      </c>
      <c r="L14" s="9" t="s">
        <v>154</v>
      </c>
      <c r="M14" s="9" t="s">
        <v>709</v>
      </c>
      <c r="N14" s="9" t="s">
        <v>713</v>
      </c>
      <c r="O14" s="9" t="s">
        <v>715</v>
      </c>
      <c r="P14" s="9" t="s">
        <v>429</v>
      </c>
      <c r="Q14" s="9" t="s">
        <v>429</v>
      </c>
      <c r="R14" s="9"/>
      <c r="S14" s="9" t="s">
        <v>719</v>
      </c>
      <c r="T14" s="9" t="s">
        <v>721</v>
      </c>
      <c r="U14" s="9" t="s">
        <v>722</v>
      </c>
      <c r="V14" s="9" t="s">
        <v>723</v>
      </c>
      <c r="W14" s="9" t="s">
        <v>724</v>
      </c>
      <c r="X14" s="9"/>
      <c r="Y14" s="9" t="s">
        <v>726</v>
      </c>
      <c r="Z14" s="9" t="s">
        <v>727</v>
      </c>
      <c r="AA14" s="9" t="s">
        <v>728</v>
      </c>
      <c r="AB14" s="9" t="s">
        <v>730</v>
      </c>
      <c r="AC14" s="9" t="s">
        <v>731</v>
      </c>
      <c r="AD14" s="9" t="s">
        <v>732</v>
      </c>
      <c r="AE14" s="9" t="s">
        <v>734</v>
      </c>
      <c r="AF14" s="9" t="s">
        <v>736</v>
      </c>
      <c r="AG14" s="10"/>
    </row>
    <row r="15" spans="1:33" ht="13.2" x14ac:dyDescent="0.25">
      <c r="A15" s="7" t="s">
        <v>44</v>
      </c>
      <c r="B15" s="5"/>
      <c r="C15" s="5">
        <v>490</v>
      </c>
      <c r="D15" s="5"/>
      <c r="E15" s="5"/>
      <c r="F15" s="18">
        <v>184</v>
      </c>
      <c r="G15" s="5"/>
      <c r="H15" s="5"/>
      <c r="I15" s="5"/>
      <c r="J15" s="5"/>
      <c r="K15" s="5">
        <v>80</v>
      </c>
      <c r="L15" s="5"/>
      <c r="M15" s="18">
        <v>258</v>
      </c>
      <c r="N15" s="18">
        <v>99</v>
      </c>
      <c r="O15" s="5"/>
      <c r="P15" s="5"/>
      <c r="Q15" s="18">
        <v>50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18">
        <v>507</v>
      </c>
      <c r="AE15" s="5"/>
      <c r="AF15" s="5"/>
      <c r="AG15" s="6">
        <f>SUM(B15:AF15)</f>
        <v>1668</v>
      </c>
    </row>
    <row r="16" spans="1:33" ht="17.25" customHeight="1" x14ac:dyDescent="0.25">
      <c r="A16" s="8" t="s">
        <v>5</v>
      </c>
      <c r="B16" s="9"/>
      <c r="C16" s="9" t="s">
        <v>692</v>
      </c>
      <c r="D16" s="9"/>
      <c r="E16" s="9"/>
      <c r="F16" s="9" t="s">
        <v>701</v>
      </c>
      <c r="G16" s="9"/>
      <c r="H16" s="9"/>
      <c r="I16" s="9"/>
      <c r="J16" s="9"/>
      <c r="K16" s="9" t="s">
        <v>708</v>
      </c>
      <c r="L16" s="9"/>
      <c r="M16" s="9" t="s">
        <v>154</v>
      </c>
      <c r="N16" s="9" t="s">
        <v>714</v>
      </c>
      <c r="O16" s="9"/>
      <c r="P16" s="9"/>
      <c r="Q16" s="9" t="s">
        <v>717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 t="s">
        <v>733</v>
      </c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>
        <v>80</v>
      </c>
      <c r="E17" s="5"/>
      <c r="F17" s="5"/>
      <c r="G17" s="5"/>
      <c r="H17" s="5"/>
      <c r="I17" s="5"/>
      <c r="J17" s="5"/>
      <c r="K17" s="5"/>
      <c r="L17" s="5"/>
      <c r="M17" s="18">
        <v>188</v>
      </c>
      <c r="N17" s="5"/>
      <c r="O17" s="5"/>
      <c r="P17" s="5"/>
      <c r="Q17" s="5">
        <v>40</v>
      </c>
      <c r="R17" s="5">
        <v>100</v>
      </c>
      <c r="S17" s="5"/>
      <c r="T17" s="5"/>
      <c r="U17" s="5"/>
      <c r="V17" s="5"/>
      <c r="W17" s="5"/>
      <c r="X17" s="5">
        <v>1400</v>
      </c>
      <c r="Y17" s="5"/>
      <c r="Z17" s="5"/>
      <c r="AA17" s="5">
        <v>40</v>
      </c>
      <c r="AB17" s="5"/>
      <c r="AC17" s="5"/>
      <c r="AD17" s="5"/>
      <c r="AE17" s="5"/>
      <c r="AF17" s="5"/>
      <c r="AG17" s="6">
        <f>SUM(B17:AF17)</f>
        <v>1848</v>
      </c>
    </row>
    <row r="18" spans="1:33" ht="26.4" x14ac:dyDescent="0.25">
      <c r="A18" s="8" t="s">
        <v>5</v>
      </c>
      <c r="B18" s="9"/>
      <c r="C18" s="9"/>
      <c r="D18" s="9" t="s">
        <v>697</v>
      </c>
      <c r="E18" s="9"/>
      <c r="F18" s="9"/>
      <c r="G18" s="9"/>
      <c r="H18" s="9"/>
      <c r="I18" s="9"/>
      <c r="J18" s="9"/>
      <c r="K18" s="9"/>
      <c r="L18" s="9"/>
      <c r="M18" s="9" t="s">
        <v>712</v>
      </c>
      <c r="N18" s="9"/>
      <c r="O18" s="9"/>
      <c r="P18" s="9"/>
      <c r="Q18" s="9" t="s">
        <v>716</v>
      </c>
      <c r="R18" s="9" t="s">
        <v>716</v>
      </c>
      <c r="S18" s="9"/>
      <c r="T18" s="9"/>
      <c r="U18" s="9"/>
      <c r="V18" s="9"/>
      <c r="W18" s="9"/>
      <c r="X18" s="9" t="s">
        <v>172</v>
      </c>
      <c r="Y18" s="9"/>
      <c r="Z18" s="9"/>
      <c r="AA18" s="9" t="s">
        <v>729</v>
      </c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150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150</v>
      </c>
    </row>
    <row r="24" spans="1:33" ht="26.4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 t="s">
        <v>710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>SUM(B5+B7+B9+B11+B13+B15+B17+B19+B21+B23)</f>
        <v>10040</v>
      </c>
      <c r="C26" s="13">
        <v>0</v>
      </c>
      <c r="D26" s="13">
        <f t="shared" ref="D26:AG26" si="0">SUM(D5+D7+D9+D11+D13+D15+D17+D19+D21+D23)</f>
        <v>1030</v>
      </c>
      <c r="E26" s="13">
        <f t="shared" si="0"/>
        <v>125</v>
      </c>
      <c r="F26" s="13">
        <f t="shared" si="0"/>
        <v>474</v>
      </c>
      <c r="G26" s="13">
        <f t="shared" si="0"/>
        <v>19615</v>
      </c>
      <c r="H26" s="13">
        <f t="shared" si="0"/>
        <v>155</v>
      </c>
      <c r="I26" s="13">
        <f t="shared" si="0"/>
        <v>546</v>
      </c>
      <c r="J26" s="13">
        <f t="shared" si="0"/>
        <v>100</v>
      </c>
      <c r="K26" s="13">
        <f t="shared" si="0"/>
        <v>697</v>
      </c>
      <c r="L26" s="13">
        <f t="shared" si="0"/>
        <v>113</v>
      </c>
      <c r="M26" s="13">
        <f t="shared" si="0"/>
        <v>1005</v>
      </c>
      <c r="N26" s="13">
        <f t="shared" si="0"/>
        <v>399</v>
      </c>
      <c r="O26" s="13">
        <f t="shared" si="0"/>
        <v>320</v>
      </c>
      <c r="P26" s="13">
        <f t="shared" si="0"/>
        <v>80</v>
      </c>
      <c r="Q26" s="13">
        <f t="shared" si="0"/>
        <v>170</v>
      </c>
      <c r="R26" s="13">
        <f t="shared" si="0"/>
        <v>160</v>
      </c>
      <c r="S26" s="14">
        <f t="shared" si="0"/>
        <v>132</v>
      </c>
      <c r="T26" s="13">
        <f t="shared" si="0"/>
        <v>52</v>
      </c>
      <c r="U26" s="13">
        <f t="shared" si="0"/>
        <v>122</v>
      </c>
      <c r="V26" s="13">
        <f t="shared" si="0"/>
        <v>167</v>
      </c>
      <c r="W26" s="13">
        <f t="shared" si="0"/>
        <v>122</v>
      </c>
      <c r="X26" s="13">
        <f t="shared" si="0"/>
        <v>1420</v>
      </c>
      <c r="Y26" s="13">
        <f t="shared" si="0"/>
        <v>92</v>
      </c>
      <c r="Z26" s="13">
        <f t="shared" si="0"/>
        <v>96</v>
      </c>
      <c r="AA26" s="13">
        <f t="shared" si="0"/>
        <v>192</v>
      </c>
      <c r="AB26" s="13">
        <f t="shared" si="0"/>
        <v>164</v>
      </c>
      <c r="AC26" s="13">
        <f t="shared" si="0"/>
        <v>301</v>
      </c>
      <c r="AD26" s="13">
        <f t="shared" si="0"/>
        <v>766</v>
      </c>
      <c r="AE26" s="13">
        <f t="shared" si="0"/>
        <v>410</v>
      </c>
      <c r="AF26" s="13">
        <f t="shared" si="0"/>
        <v>116</v>
      </c>
      <c r="AG26" s="15">
        <f t="shared" si="0"/>
        <v>39800</v>
      </c>
    </row>
  </sheetData>
  <mergeCells count="2">
    <mergeCell ref="A1:A2"/>
    <mergeCell ref="B1:AG2"/>
  </mergeCells>
  <pageMargins left="0" right="0" top="0" bottom="0" header="0" footer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2CA3-560B-403B-91D4-801666A45366}">
  <sheetPr>
    <outlinePr summaryBelow="0" summaryRight="0"/>
  </sheetPr>
  <dimension ref="A1:AG26"/>
  <sheetViews>
    <sheetView showGridLines="0" zoomScale="74" workbookViewId="0">
      <pane xSplit="1" ySplit="3" topLeftCell="AE4" activePane="bottomRight" state="frozen"/>
      <selection pane="topRight" activeCell="B1" sqref="B1"/>
      <selection pane="bottomLeft" activeCell="A4" sqref="A4"/>
      <selection pane="bottomRight" activeCell="AG26" sqref="AG26"/>
    </sheetView>
  </sheetViews>
  <sheetFormatPr defaultColWidth="12.5546875" defaultRowHeight="15.75" customHeight="1" x14ac:dyDescent="0.25"/>
  <cols>
    <col min="1" max="1" width="27.6640625" customWidth="1"/>
    <col min="2" max="2" width="10.441406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11.3320312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>
        <v>349</v>
      </c>
      <c r="L5" s="5">
        <v>586</v>
      </c>
      <c r="M5" s="5"/>
      <c r="N5" s="5"/>
      <c r="O5" s="5"/>
      <c r="P5" s="5"/>
      <c r="Q5" s="5"/>
      <c r="R5" s="5"/>
      <c r="S5" s="5"/>
      <c r="T5" s="5"/>
      <c r="U5" s="5">
        <v>155</v>
      </c>
      <c r="V5" s="5"/>
      <c r="W5" s="5"/>
      <c r="X5" s="5"/>
      <c r="Y5" s="5"/>
      <c r="Z5" s="5">
        <v>579</v>
      </c>
      <c r="AA5" s="5"/>
      <c r="AB5" s="5"/>
      <c r="AC5" s="5"/>
      <c r="AD5" s="5">
        <v>100</v>
      </c>
      <c r="AE5" s="5"/>
      <c r="AF5" s="5"/>
      <c r="AG5" s="6">
        <f>SUM(B5:AF5)</f>
        <v>1769</v>
      </c>
    </row>
    <row r="6" spans="1:33" ht="13.2" x14ac:dyDescent="0.25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 t="s">
        <v>593</v>
      </c>
      <c r="L6" s="9" t="s">
        <v>109</v>
      </c>
      <c r="M6" s="9"/>
      <c r="N6" s="9"/>
      <c r="O6" s="9"/>
      <c r="P6" s="9"/>
      <c r="Q6" s="9"/>
      <c r="R6" s="9"/>
      <c r="S6" s="9"/>
      <c r="T6" s="9"/>
      <c r="U6" s="9" t="s">
        <v>762</v>
      </c>
      <c r="V6" s="9"/>
      <c r="W6" s="9"/>
      <c r="X6" s="9"/>
      <c r="Y6" s="9"/>
      <c r="Z6" s="9" t="s">
        <v>195</v>
      </c>
      <c r="AA6" s="9"/>
      <c r="AB6" s="9"/>
      <c r="AC6" s="9"/>
      <c r="AD6" s="9" t="s">
        <v>778</v>
      </c>
      <c r="AE6" s="9"/>
      <c r="AF6" s="9"/>
      <c r="AG6" s="10"/>
    </row>
    <row r="7" spans="1:33" ht="26.4" x14ac:dyDescent="0.25">
      <c r="A7" s="7" t="s">
        <v>15</v>
      </c>
      <c r="B7" s="5"/>
      <c r="C7" s="5">
        <v>1500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1500</v>
      </c>
    </row>
    <row r="8" spans="1:33" ht="13.2" x14ac:dyDescent="0.25">
      <c r="A8" s="8" t="s">
        <v>5</v>
      </c>
      <c r="B8" s="9"/>
      <c r="C8" s="9" t="s">
        <v>738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v>100</v>
      </c>
      <c r="O9" s="5">
        <v>70</v>
      </c>
      <c r="P9" s="5"/>
      <c r="Q9" s="5"/>
      <c r="R9" s="5"/>
      <c r="S9" s="5">
        <v>20</v>
      </c>
      <c r="T9" s="5">
        <v>36</v>
      </c>
      <c r="U9" s="5"/>
      <c r="V9" s="5"/>
      <c r="W9" s="5"/>
      <c r="X9" s="5"/>
      <c r="Y9" s="5">
        <v>71</v>
      </c>
      <c r="Z9" s="5">
        <v>200</v>
      </c>
      <c r="AA9" s="5"/>
      <c r="AB9" s="5">
        <v>43</v>
      </c>
      <c r="AC9" s="5">
        <v>350</v>
      </c>
      <c r="AD9" s="5">
        <v>200</v>
      </c>
      <c r="AE9" s="5"/>
      <c r="AF9" s="5"/>
      <c r="AG9" s="6">
        <f>SUM(B9:AF9)</f>
        <v>1090</v>
      </c>
    </row>
    <row r="10" spans="1:33" ht="33.75" customHeight="1" x14ac:dyDescent="0.25">
      <c r="A10" s="8" t="s">
        <v>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 t="s">
        <v>752</v>
      </c>
      <c r="O10" s="9" t="s">
        <v>469</v>
      </c>
      <c r="P10" s="9"/>
      <c r="Q10" s="9"/>
      <c r="R10" s="9"/>
      <c r="S10" s="9" t="s">
        <v>759</v>
      </c>
      <c r="T10" s="9" t="s">
        <v>760</v>
      </c>
      <c r="U10" s="9"/>
      <c r="V10" s="9"/>
      <c r="W10" s="9"/>
      <c r="X10" s="9"/>
      <c r="Y10" s="9" t="s">
        <v>770</v>
      </c>
      <c r="Z10" s="9" t="s">
        <v>18</v>
      </c>
      <c r="AA10" s="9"/>
      <c r="AB10" s="9" t="s">
        <v>63</v>
      </c>
      <c r="AC10" s="9" t="s">
        <v>775</v>
      </c>
      <c r="AD10" s="9" t="s">
        <v>17</v>
      </c>
      <c r="AE10" s="9"/>
      <c r="AF10" s="9"/>
      <c r="AG10" s="10"/>
    </row>
    <row r="11" spans="1:33" ht="13.2" x14ac:dyDescent="0.25">
      <c r="A11" s="7" t="s">
        <v>21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20</v>
      </c>
      <c r="X11" s="5"/>
      <c r="Y11" s="5"/>
      <c r="Z11" s="5"/>
      <c r="AA11" s="5"/>
      <c r="AB11" s="5"/>
      <c r="AC11" s="5"/>
      <c r="AD11" s="5"/>
      <c r="AE11" s="5"/>
      <c r="AF11" s="5"/>
      <c r="AG11" s="6">
        <f>SUM(B11:AF11)</f>
        <v>20</v>
      </c>
    </row>
    <row r="12" spans="1:33" ht="42" customHeight="1" x14ac:dyDescent="0.25">
      <c r="A12" s="8" t="s">
        <v>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 t="s">
        <v>767</v>
      </c>
      <c r="X12" s="9"/>
      <c r="Y12" s="9"/>
      <c r="Z12" s="9"/>
      <c r="AA12" s="9"/>
      <c r="AB12" s="9"/>
      <c r="AC12" s="9"/>
      <c r="AD12" s="9"/>
      <c r="AE12" s="9"/>
      <c r="AF12" s="9"/>
      <c r="AG12" s="10"/>
    </row>
    <row r="13" spans="1:33" ht="13.2" x14ac:dyDescent="0.25">
      <c r="A13" s="7" t="s">
        <v>24</v>
      </c>
      <c r="B13" s="5">
        <v>178</v>
      </c>
      <c r="C13" s="5">
        <v>82</v>
      </c>
      <c r="D13" s="5">
        <v>300</v>
      </c>
      <c r="E13" s="5">
        <v>132</v>
      </c>
      <c r="F13" s="5">
        <v>144</v>
      </c>
      <c r="G13" s="5">
        <v>135</v>
      </c>
      <c r="H13" s="5">
        <v>170</v>
      </c>
      <c r="I13" s="5">
        <v>240</v>
      </c>
      <c r="J13" s="5">
        <v>204</v>
      </c>
      <c r="K13" s="5">
        <v>200</v>
      </c>
      <c r="L13" s="5">
        <v>260</v>
      </c>
      <c r="M13" s="5">
        <v>308</v>
      </c>
      <c r="N13" s="5">
        <v>165</v>
      </c>
      <c r="O13" s="5">
        <v>217</v>
      </c>
      <c r="P13" s="5">
        <v>270</v>
      </c>
      <c r="Q13" s="5">
        <v>145</v>
      </c>
      <c r="R13" s="5">
        <v>285</v>
      </c>
      <c r="S13" s="5">
        <v>150</v>
      </c>
      <c r="T13" s="5">
        <v>335</v>
      </c>
      <c r="U13" s="5">
        <v>130</v>
      </c>
      <c r="V13" s="5">
        <v>110</v>
      </c>
      <c r="W13" s="5">
        <v>220</v>
      </c>
      <c r="X13" s="5">
        <v>182</v>
      </c>
      <c r="Y13" s="5">
        <v>230</v>
      </c>
      <c r="Z13" s="5">
        <v>200</v>
      </c>
      <c r="AA13" s="5">
        <v>270</v>
      </c>
      <c r="AB13" s="5">
        <v>200</v>
      </c>
      <c r="AC13" s="5">
        <v>110</v>
      </c>
      <c r="AD13" s="5">
        <v>90</v>
      </c>
      <c r="AE13" s="5">
        <v>60</v>
      </c>
      <c r="AF13" s="5"/>
      <c r="AG13" s="6">
        <f>SUM(B13:AF13)</f>
        <v>5722</v>
      </c>
    </row>
    <row r="14" spans="1:33" ht="58.5" customHeight="1" x14ac:dyDescent="0.25">
      <c r="A14" s="8" t="s">
        <v>5</v>
      </c>
      <c r="B14" s="9" t="s">
        <v>737</v>
      </c>
      <c r="C14" s="9" t="s">
        <v>739</v>
      </c>
      <c r="D14" s="9" t="s">
        <v>740</v>
      </c>
      <c r="E14" s="9" t="s">
        <v>741</v>
      </c>
      <c r="F14" s="9" t="s">
        <v>742</v>
      </c>
      <c r="G14" s="9" t="s">
        <v>743</v>
      </c>
      <c r="H14" s="9" t="s">
        <v>744</v>
      </c>
      <c r="I14" s="9" t="s">
        <v>745</v>
      </c>
      <c r="J14" s="9" t="s">
        <v>747</v>
      </c>
      <c r="K14" s="9" t="s">
        <v>748</v>
      </c>
      <c r="L14" s="9" t="s">
        <v>749</v>
      </c>
      <c r="M14" s="9" t="s">
        <v>750</v>
      </c>
      <c r="N14" s="9" t="s">
        <v>751</v>
      </c>
      <c r="O14" s="9" t="s">
        <v>754</v>
      </c>
      <c r="P14" s="9" t="s">
        <v>755</v>
      </c>
      <c r="Q14" s="9" t="s">
        <v>756</v>
      </c>
      <c r="R14" s="9" t="s">
        <v>757</v>
      </c>
      <c r="S14" s="9" t="s">
        <v>758</v>
      </c>
      <c r="T14" s="9" t="s">
        <v>761</v>
      </c>
      <c r="U14" s="9" t="s">
        <v>764</v>
      </c>
      <c r="V14" s="9" t="s">
        <v>765</v>
      </c>
      <c r="W14" s="9" t="s">
        <v>766</v>
      </c>
      <c r="X14" s="9" t="s">
        <v>769</v>
      </c>
      <c r="Y14" s="9" t="s">
        <v>771</v>
      </c>
      <c r="Z14" s="9" t="s">
        <v>772</v>
      </c>
      <c r="AA14" s="9" t="s">
        <v>773</v>
      </c>
      <c r="AB14" s="9" t="s">
        <v>774</v>
      </c>
      <c r="AC14" s="9" t="s">
        <v>776</v>
      </c>
      <c r="AD14" s="9" t="s">
        <v>777</v>
      </c>
      <c r="AE14" s="9" t="s">
        <v>780</v>
      </c>
      <c r="AF14" s="9"/>
      <c r="AG14" s="10"/>
    </row>
    <row r="15" spans="1:33" ht="13.2" x14ac:dyDescent="0.25">
      <c r="A15" s="7" t="s">
        <v>44</v>
      </c>
      <c r="B15" s="5"/>
      <c r="C15" s="5">
        <v>579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92</v>
      </c>
      <c r="O15" s="5"/>
      <c r="P15" s="5"/>
      <c r="Q15" s="5"/>
      <c r="R15" s="5"/>
      <c r="S15" s="5"/>
      <c r="T15" s="5"/>
      <c r="U15" s="5"/>
      <c r="V15" s="5"/>
      <c r="W15" s="5"/>
      <c r="X15" s="5">
        <v>99</v>
      </c>
      <c r="Y15" s="5"/>
      <c r="Z15" s="5"/>
      <c r="AA15" s="5">
        <v>3099</v>
      </c>
      <c r="AB15" s="5"/>
      <c r="AC15" s="5">
        <v>950</v>
      </c>
      <c r="AD15" s="5"/>
      <c r="AE15" s="5">
        <v>60</v>
      </c>
      <c r="AF15" s="5"/>
      <c r="AG15" s="6">
        <f>SUM(B15:AF15)</f>
        <v>4879</v>
      </c>
    </row>
    <row r="16" spans="1:33" ht="17.25" customHeight="1" x14ac:dyDescent="0.25">
      <c r="A16" s="8" t="s">
        <v>5</v>
      </c>
      <c r="B16" s="9"/>
      <c r="C16" s="9" t="s">
        <v>746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 t="s">
        <v>753</v>
      </c>
      <c r="O16" s="9"/>
      <c r="P16" s="9"/>
      <c r="Q16" s="9"/>
      <c r="R16" s="9"/>
      <c r="S16" s="9"/>
      <c r="T16" s="9"/>
      <c r="U16" s="9"/>
      <c r="V16" s="9"/>
      <c r="W16" s="9"/>
      <c r="X16" s="9" t="s">
        <v>97</v>
      </c>
      <c r="Y16" s="9"/>
      <c r="Z16" s="9"/>
      <c r="AA16" s="9" t="s">
        <v>782</v>
      </c>
      <c r="AB16" s="9"/>
      <c r="AC16" s="9" t="s">
        <v>779</v>
      </c>
      <c r="AD16" s="9"/>
      <c r="AE16" s="9" t="s">
        <v>781</v>
      </c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>
        <v>50</v>
      </c>
      <c r="M17" s="5"/>
      <c r="N17" s="5"/>
      <c r="O17" s="5"/>
      <c r="P17" s="5"/>
      <c r="Q17" s="5"/>
      <c r="R17" s="5"/>
      <c r="S17" s="5"/>
      <c r="T17" s="5"/>
      <c r="U17" s="5">
        <v>2675</v>
      </c>
      <c r="V17" s="5">
        <v>1300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f>SUM(B17:AF17)</f>
        <v>4025</v>
      </c>
    </row>
    <row r="18" spans="1:33" ht="26.4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 t="s">
        <v>654</v>
      </c>
      <c r="M18" s="9"/>
      <c r="N18" s="9"/>
      <c r="O18" s="9"/>
      <c r="P18" s="9"/>
      <c r="Q18" s="9"/>
      <c r="R18" s="9"/>
      <c r="S18" s="9"/>
      <c r="T18" s="9"/>
      <c r="U18" s="9" t="s">
        <v>763</v>
      </c>
      <c r="V18" s="9" t="s">
        <v>768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49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0</v>
      </c>
    </row>
    <row r="24" spans="1:33" ht="13.2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/>
      <c r="C26" s="13">
        <f>SUM(C5+C7+C9+C11+C13+C15+C17+C19+C21+C23)</f>
        <v>2161</v>
      </c>
      <c r="D26" s="13">
        <f t="shared" ref="D26:AG26" si="0">SUM(D5+D7+D9+D11+D13+D15+D17+D19+D21+D23)</f>
        <v>300</v>
      </c>
      <c r="E26" s="13">
        <f t="shared" si="0"/>
        <v>132</v>
      </c>
      <c r="F26" s="13">
        <f t="shared" si="0"/>
        <v>144</v>
      </c>
      <c r="G26" s="13">
        <f t="shared" si="0"/>
        <v>135</v>
      </c>
      <c r="H26" s="13">
        <f t="shared" si="0"/>
        <v>170</v>
      </c>
      <c r="I26" s="13">
        <f t="shared" si="0"/>
        <v>240</v>
      </c>
      <c r="J26" s="13">
        <f t="shared" si="0"/>
        <v>204</v>
      </c>
      <c r="K26" s="13">
        <f t="shared" si="0"/>
        <v>549</v>
      </c>
      <c r="L26" s="13">
        <f t="shared" si="0"/>
        <v>896</v>
      </c>
      <c r="M26" s="13">
        <f t="shared" si="0"/>
        <v>308</v>
      </c>
      <c r="N26" s="13">
        <f t="shared" si="0"/>
        <v>357</v>
      </c>
      <c r="O26" s="13">
        <f t="shared" si="0"/>
        <v>287</v>
      </c>
      <c r="P26" s="13">
        <f t="shared" si="0"/>
        <v>270</v>
      </c>
      <c r="Q26" s="13">
        <f t="shared" si="0"/>
        <v>145</v>
      </c>
      <c r="R26" s="13">
        <f t="shared" si="0"/>
        <v>285</v>
      </c>
      <c r="S26" s="14">
        <f t="shared" si="0"/>
        <v>170</v>
      </c>
      <c r="T26" s="13">
        <f t="shared" si="0"/>
        <v>371</v>
      </c>
      <c r="U26" s="13">
        <f t="shared" si="0"/>
        <v>2960</v>
      </c>
      <c r="V26" s="13">
        <f t="shared" si="0"/>
        <v>1410</v>
      </c>
      <c r="W26" s="13">
        <f t="shared" si="0"/>
        <v>240</v>
      </c>
      <c r="X26" s="13">
        <f t="shared" si="0"/>
        <v>281</v>
      </c>
      <c r="Y26" s="13">
        <f t="shared" si="0"/>
        <v>301</v>
      </c>
      <c r="Z26" s="13">
        <f t="shared" si="0"/>
        <v>979</v>
      </c>
      <c r="AA26" s="13">
        <f t="shared" si="0"/>
        <v>3369</v>
      </c>
      <c r="AB26" s="13">
        <f t="shared" si="0"/>
        <v>243</v>
      </c>
      <c r="AC26" s="13">
        <f t="shared" si="0"/>
        <v>1410</v>
      </c>
      <c r="AD26" s="13">
        <f t="shared" si="0"/>
        <v>390</v>
      </c>
      <c r="AE26" s="13">
        <f t="shared" si="0"/>
        <v>120</v>
      </c>
      <c r="AF26" s="13">
        <f t="shared" si="0"/>
        <v>0</v>
      </c>
      <c r="AG26" s="15">
        <f t="shared" si="0"/>
        <v>19005</v>
      </c>
    </row>
  </sheetData>
  <mergeCells count="2">
    <mergeCell ref="A1:A2"/>
    <mergeCell ref="B1:AG2"/>
  </mergeCells>
  <pageMargins left="0" right="0" top="0" bottom="0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9891-9352-4712-83EA-46F67089B193}">
  <sheetPr>
    <outlinePr summaryBelow="0" summaryRight="0"/>
  </sheetPr>
  <dimension ref="A1:AG26"/>
  <sheetViews>
    <sheetView showGridLines="0" zoomScale="74" workbookViewId="0">
      <pane xSplit="1" ySplit="3" topLeftCell="AE4" activePane="bottomRight" state="frozen"/>
      <selection pane="topRight" activeCell="B1" sqref="B1"/>
      <selection pane="bottomLeft" activeCell="A4" sqref="A4"/>
      <selection pane="bottomRight" activeCell="AF27" sqref="AF27"/>
    </sheetView>
  </sheetViews>
  <sheetFormatPr defaultColWidth="12.5546875" defaultRowHeight="15.75" customHeight="1" x14ac:dyDescent="0.25"/>
  <cols>
    <col min="1" max="1" width="27.6640625" customWidth="1"/>
    <col min="2" max="2" width="10.441406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11.3320312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1500</v>
      </c>
      <c r="O5" s="5">
        <v>334</v>
      </c>
      <c r="P5" s="5"/>
      <c r="Q5" s="5"/>
      <c r="R5" s="5"/>
      <c r="S5" s="5"/>
      <c r="T5" s="5"/>
      <c r="U5" s="5"/>
      <c r="V5" s="5">
        <v>40</v>
      </c>
      <c r="W5" s="5"/>
      <c r="X5" s="5"/>
      <c r="Y5" s="5"/>
      <c r="Z5" s="5"/>
      <c r="AA5" s="5">
        <v>29</v>
      </c>
      <c r="AB5" s="5"/>
      <c r="AC5" s="5"/>
      <c r="AD5" s="5"/>
      <c r="AE5" s="5"/>
      <c r="AF5" s="5"/>
      <c r="AG5" s="6">
        <f>SUM(B5:AF5)</f>
        <v>1903</v>
      </c>
    </row>
    <row r="6" spans="1:33" ht="13.2" x14ac:dyDescent="0.25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 t="s">
        <v>632</v>
      </c>
      <c r="O6" s="9" t="s">
        <v>812</v>
      </c>
      <c r="P6" s="9"/>
      <c r="Q6" s="9"/>
      <c r="R6" s="9"/>
      <c r="S6" s="9"/>
      <c r="T6" s="9"/>
      <c r="U6" s="9"/>
      <c r="V6" s="9" t="s">
        <v>706</v>
      </c>
      <c r="W6" s="9"/>
      <c r="X6" s="9"/>
      <c r="Y6" s="9"/>
      <c r="Z6" s="9"/>
      <c r="AA6" s="9" t="s">
        <v>822</v>
      </c>
      <c r="AB6" s="9"/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>
        <v>1500</v>
      </c>
      <c r="L7" s="5">
        <v>50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2450</v>
      </c>
      <c r="AB7" s="5"/>
      <c r="AC7" s="5"/>
      <c r="AD7" s="5"/>
      <c r="AE7" s="5"/>
      <c r="AF7" s="5">
        <v>150</v>
      </c>
      <c r="AG7" s="6">
        <f>SUM(B7:AF7)</f>
        <v>4150</v>
      </c>
    </row>
    <row r="8" spans="1:33" ht="13.2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 t="s">
        <v>738</v>
      </c>
      <c r="L8" s="9" t="s">
        <v>803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 t="s">
        <v>816</v>
      </c>
      <c r="AB8" s="9"/>
      <c r="AC8" s="9"/>
      <c r="AD8" s="9"/>
      <c r="AE8" s="9"/>
      <c r="AF8" s="9" t="s">
        <v>181</v>
      </c>
      <c r="AG8" s="10"/>
    </row>
    <row r="9" spans="1:33" ht="13.2" x14ac:dyDescent="0.25">
      <c r="A9" s="7" t="s">
        <v>16</v>
      </c>
      <c r="B9" s="5">
        <v>200</v>
      </c>
      <c r="C9" s="5">
        <v>100</v>
      </c>
      <c r="D9" s="5"/>
      <c r="E9" s="5"/>
      <c r="F9" s="5">
        <v>340</v>
      </c>
      <c r="G9" s="5"/>
      <c r="H9" s="5"/>
      <c r="I9" s="5">
        <v>34</v>
      </c>
      <c r="J9" s="5">
        <v>86</v>
      </c>
      <c r="K9" s="5">
        <v>34</v>
      </c>
      <c r="L9" s="5"/>
      <c r="M9" s="5"/>
      <c r="N9" s="5">
        <v>36</v>
      </c>
      <c r="O9" s="5">
        <v>36</v>
      </c>
      <c r="P9" s="5">
        <v>227</v>
      </c>
      <c r="Q9" s="5">
        <v>200</v>
      </c>
      <c r="R9" s="5">
        <v>200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>
        <f>SUM(B9:AF9)</f>
        <v>1493</v>
      </c>
    </row>
    <row r="10" spans="1:33" ht="33.75" customHeight="1" x14ac:dyDescent="0.25">
      <c r="A10" s="8" t="s">
        <v>5</v>
      </c>
      <c r="B10" s="9" t="s">
        <v>17</v>
      </c>
      <c r="C10" s="9" t="s">
        <v>17</v>
      </c>
      <c r="D10" s="9"/>
      <c r="E10" s="9"/>
      <c r="F10" s="9" t="s">
        <v>795</v>
      </c>
      <c r="G10" s="9"/>
      <c r="H10" s="9"/>
      <c r="I10" s="9" t="s">
        <v>113</v>
      </c>
      <c r="J10" s="9" t="s">
        <v>113</v>
      </c>
      <c r="K10" s="9" t="s">
        <v>113</v>
      </c>
      <c r="L10" s="9"/>
      <c r="M10" s="9"/>
      <c r="N10" s="9" t="s">
        <v>10</v>
      </c>
      <c r="O10" s="9" t="s">
        <v>113</v>
      </c>
      <c r="P10" s="9" t="s">
        <v>113</v>
      </c>
      <c r="Q10" s="9" t="s">
        <v>322</v>
      </c>
      <c r="R10" s="9" t="s">
        <v>17</v>
      </c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</row>
    <row r="11" spans="1:33" ht="13.2" x14ac:dyDescent="0.25">
      <c r="A11" s="7" t="s">
        <v>21</v>
      </c>
      <c r="B11" s="5">
        <v>143</v>
      </c>
      <c r="C11" s="5"/>
      <c r="D11" s="5"/>
      <c r="E11" s="5">
        <v>190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>
        <v>79</v>
      </c>
      <c r="T11" s="5"/>
      <c r="U11" s="5"/>
      <c r="V11" s="5"/>
      <c r="W11" s="5"/>
      <c r="X11" s="5"/>
      <c r="Y11" s="5">
        <v>54</v>
      </c>
      <c r="Z11" s="5">
        <v>40</v>
      </c>
      <c r="AA11" s="5"/>
      <c r="AB11" s="5">
        <v>56</v>
      </c>
      <c r="AC11" s="5"/>
      <c r="AD11" s="5">
        <v>26</v>
      </c>
      <c r="AE11" s="5">
        <v>78</v>
      </c>
      <c r="AF11" s="5"/>
      <c r="AG11" s="6">
        <f>SUM(B11:AF11)</f>
        <v>666</v>
      </c>
    </row>
    <row r="12" spans="1:33" ht="42" customHeight="1" x14ac:dyDescent="0.25">
      <c r="A12" s="8" t="s">
        <v>5</v>
      </c>
      <c r="B12" s="9" t="s">
        <v>784</v>
      </c>
      <c r="C12" s="9"/>
      <c r="D12" s="9"/>
      <c r="E12" s="9" t="s">
        <v>791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 t="s">
        <v>152</v>
      </c>
      <c r="T12" s="9"/>
      <c r="U12" s="9"/>
      <c r="V12" s="9"/>
      <c r="W12" s="9"/>
      <c r="X12" s="9"/>
      <c r="Y12" s="9" t="s">
        <v>820</v>
      </c>
      <c r="Z12" s="9" t="s">
        <v>814</v>
      </c>
      <c r="AA12" s="9"/>
      <c r="AB12" s="9" t="s">
        <v>820</v>
      </c>
      <c r="AC12" s="9"/>
      <c r="AD12" s="9" t="s">
        <v>242</v>
      </c>
      <c r="AE12" s="9" t="s">
        <v>152</v>
      </c>
      <c r="AF12" s="9"/>
      <c r="AG12" s="10"/>
    </row>
    <row r="13" spans="1:33" ht="13.2" x14ac:dyDescent="0.25">
      <c r="A13" s="7" t="s">
        <v>24</v>
      </c>
      <c r="B13" s="5">
        <v>180</v>
      </c>
      <c r="C13" s="5">
        <v>170</v>
      </c>
      <c r="D13" s="5">
        <v>100</v>
      </c>
      <c r="E13" s="5">
        <v>130</v>
      </c>
      <c r="F13" s="5">
        <v>100</v>
      </c>
      <c r="G13" s="5">
        <v>220</v>
      </c>
      <c r="H13" s="5">
        <v>352</v>
      </c>
      <c r="I13" s="5">
        <v>133</v>
      </c>
      <c r="J13" s="5">
        <v>175</v>
      </c>
      <c r="K13" s="5">
        <v>282</v>
      </c>
      <c r="L13" s="5">
        <v>265</v>
      </c>
      <c r="M13" s="5">
        <v>225</v>
      </c>
      <c r="N13" s="5">
        <v>161</v>
      </c>
      <c r="O13" s="5">
        <v>160</v>
      </c>
      <c r="P13" s="5">
        <v>1170</v>
      </c>
      <c r="Q13" s="5"/>
      <c r="R13" s="5">
        <v>34</v>
      </c>
      <c r="S13" s="5">
        <v>40</v>
      </c>
      <c r="T13" s="5">
        <v>30</v>
      </c>
      <c r="U13" s="5">
        <v>208</v>
      </c>
      <c r="V13" s="5"/>
      <c r="W13" s="5">
        <v>197</v>
      </c>
      <c r="X13" s="5">
        <v>165</v>
      </c>
      <c r="Y13" s="5">
        <v>220</v>
      </c>
      <c r="Z13" s="5"/>
      <c r="AA13" s="5"/>
      <c r="AB13" s="5">
        <v>60</v>
      </c>
      <c r="AC13" s="5"/>
      <c r="AD13" s="5"/>
      <c r="AE13" s="5">
        <v>200</v>
      </c>
      <c r="AF13" s="5">
        <v>120</v>
      </c>
      <c r="AG13" s="6">
        <f>SUM(B13:AF13)</f>
        <v>5097</v>
      </c>
    </row>
    <row r="14" spans="1:33" ht="58.5" customHeight="1" x14ac:dyDescent="0.25">
      <c r="A14" s="8" t="s">
        <v>5</v>
      </c>
      <c r="B14" s="9" t="s">
        <v>783</v>
      </c>
      <c r="C14" s="9" t="s">
        <v>789</v>
      </c>
      <c r="D14" s="9" t="s">
        <v>790</v>
      </c>
      <c r="E14" s="9" t="s">
        <v>792</v>
      </c>
      <c r="F14" s="9" t="s">
        <v>794</v>
      </c>
      <c r="G14" s="9" t="s">
        <v>796</v>
      </c>
      <c r="H14" s="9" t="s">
        <v>797</v>
      </c>
      <c r="I14" s="9" t="s">
        <v>798</v>
      </c>
      <c r="J14" s="9" t="s">
        <v>799</v>
      </c>
      <c r="K14" s="9" t="s">
        <v>800</v>
      </c>
      <c r="L14" s="9" t="s">
        <v>801</v>
      </c>
      <c r="M14" s="9" t="s">
        <v>804</v>
      </c>
      <c r="N14" s="9" t="s">
        <v>805</v>
      </c>
      <c r="O14" s="9" t="s">
        <v>806</v>
      </c>
      <c r="P14" s="9" t="s">
        <v>807</v>
      </c>
      <c r="Q14" s="9"/>
      <c r="R14" s="9" t="s">
        <v>154</v>
      </c>
      <c r="S14" s="9" t="s">
        <v>808</v>
      </c>
      <c r="T14" s="9" t="s">
        <v>525</v>
      </c>
      <c r="U14" s="9" t="s">
        <v>811</v>
      </c>
      <c r="V14" s="9"/>
      <c r="W14" s="9" t="s">
        <v>817</v>
      </c>
      <c r="X14" s="9" t="s">
        <v>819</v>
      </c>
      <c r="Y14" s="9" t="s">
        <v>818</v>
      </c>
      <c r="Z14" s="9"/>
      <c r="AA14" s="9"/>
      <c r="AB14" s="9" t="s">
        <v>420</v>
      </c>
      <c r="AC14" s="9"/>
      <c r="AD14" s="9"/>
      <c r="AE14" s="9" t="s">
        <v>810</v>
      </c>
      <c r="AF14" s="9" t="s">
        <v>420</v>
      </c>
      <c r="AG14" s="10"/>
    </row>
    <row r="15" spans="1:33" ht="13.2" x14ac:dyDescent="0.25">
      <c r="A15" s="7" t="s">
        <v>44</v>
      </c>
      <c r="B15" s="5">
        <v>50</v>
      </c>
      <c r="C15" s="5">
        <v>369</v>
      </c>
      <c r="D15" s="5"/>
      <c r="E15" s="5"/>
      <c r="F15" s="5">
        <v>80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1000</v>
      </c>
      <c r="R15" s="5"/>
      <c r="S15" s="5"/>
      <c r="T15" s="5">
        <v>208</v>
      </c>
      <c r="U15" s="5">
        <v>108</v>
      </c>
      <c r="V15" s="5"/>
      <c r="W15" s="5"/>
      <c r="X15" s="5"/>
      <c r="Y15" s="5"/>
      <c r="Z15" s="5">
        <v>175</v>
      </c>
      <c r="AA15" s="5"/>
      <c r="AB15" s="5">
        <v>31</v>
      </c>
      <c r="AC15" s="5"/>
      <c r="AD15" s="5">
        <v>200</v>
      </c>
      <c r="AE15" s="5"/>
      <c r="AF15" s="5">
        <v>18</v>
      </c>
      <c r="AG15" s="6">
        <f>SUM(B15:AF15)</f>
        <v>2239</v>
      </c>
    </row>
    <row r="16" spans="1:33" ht="17.25" customHeight="1" x14ac:dyDescent="0.25">
      <c r="A16" s="8" t="s">
        <v>5</v>
      </c>
      <c r="B16" s="9" t="s">
        <v>785</v>
      </c>
      <c r="C16" s="9" t="s">
        <v>788</v>
      </c>
      <c r="D16" s="9"/>
      <c r="E16" s="9"/>
      <c r="F16" s="9" t="s">
        <v>793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 t="s">
        <v>560</v>
      </c>
      <c r="R16" s="9"/>
      <c r="S16" s="9"/>
      <c r="T16" s="9" t="s">
        <v>809</v>
      </c>
      <c r="U16" s="9" t="s">
        <v>154</v>
      </c>
      <c r="V16" s="9"/>
      <c r="W16" s="9"/>
      <c r="X16" s="9"/>
      <c r="Y16" s="9"/>
      <c r="Z16" s="9" t="s">
        <v>815</v>
      </c>
      <c r="AA16" s="9"/>
      <c r="AB16" s="9" t="s">
        <v>154</v>
      </c>
      <c r="AC16" s="9"/>
      <c r="AD16" s="9" t="s">
        <v>824</v>
      </c>
      <c r="AE16" s="9"/>
      <c r="AF16" s="9" t="s">
        <v>825</v>
      </c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1230</v>
      </c>
      <c r="AB17" s="5"/>
      <c r="AC17" s="5"/>
      <c r="AD17" s="5"/>
      <c r="AE17" s="5"/>
      <c r="AF17" s="5"/>
      <c r="AG17" s="6">
        <f>SUM(B17:AF17)</f>
        <v>1230</v>
      </c>
    </row>
    <row r="18" spans="1:33" ht="13.2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 t="s">
        <v>821</v>
      </c>
      <c r="AB18" s="9"/>
      <c r="AC18" s="9"/>
      <c r="AD18" s="9"/>
      <c r="AE18" s="9"/>
      <c r="AF18" s="9"/>
      <c r="AG18" s="10"/>
    </row>
    <row r="19" spans="1:33" ht="13.2" x14ac:dyDescent="0.25">
      <c r="A19" s="7" t="s">
        <v>786</v>
      </c>
      <c r="B19" s="5"/>
      <c r="C19" s="5">
        <v>200</v>
      </c>
      <c r="D19" s="5"/>
      <c r="E19" s="5"/>
      <c r="F19" s="5"/>
      <c r="G19" s="5"/>
      <c r="H19" s="5"/>
      <c r="I19" s="5"/>
      <c r="J19" s="5"/>
      <c r="K19" s="5"/>
      <c r="L19" s="5">
        <v>100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300</v>
      </c>
    </row>
    <row r="20" spans="1:33" ht="26.4" x14ac:dyDescent="0.25">
      <c r="A20" s="8" t="s">
        <v>5</v>
      </c>
      <c r="B20" s="9"/>
      <c r="C20" s="9" t="s">
        <v>787</v>
      </c>
      <c r="D20" s="9"/>
      <c r="E20" s="9"/>
      <c r="F20" s="9"/>
      <c r="G20" s="9"/>
      <c r="H20" s="9"/>
      <c r="I20" s="9"/>
      <c r="J20" s="9"/>
      <c r="K20" s="9"/>
      <c r="L20" s="9" t="s">
        <v>802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2500</v>
      </c>
      <c r="AC21" s="5"/>
      <c r="AD21" s="5"/>
      <c r="AE21" s="5"/>
      <c r="AF21" s="5"/>
      <c r="AG21" s="6">
        <f>SUM(B21:AF21)</f>
        <v>2500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 t="s">
        <v>823</v>
      </c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>
        <v>50</v>
      </c>
      <c r="Y23" s="5"/>
      <c r="Z23" s="5"/>
      <c r="AA23" s="5"/>
      <c r="AB23" s="5"/>
      <c r="AC23" s="5"/>
      <c r="AD23" s="5"/>
      <c r="AE23" s="5"/>
      <c r="AF23" s="5"/>
      <c r="AG23" s="6">
        <f>SUM(B23:AF23)</f>
        <v>50</v>
      </c>
    </row>
    <row r="24" spans="1:33" ht="13.2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 t="s">
        <v>813</v>
      </c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>SUM(B5+B7+B9+B11+B13+B15+B17+B19+B21+B23)</f>
        <v>573</v>
      </c>
      <c r="C26" s="13">
        <f>SUM(C5+C7+C9+C11+C13+C15+C17+C19+C21+C23)</f>
        <v>839</v>
      </c>
      <c r="D26" s="13">
        <f t="shared" ref="D26:AG26" si="0">SUM(D5+D7+D9+D11+D13+D15+D17+D19+D21+D23)</f>
        <v>100</v>
      </c>
      <c r="E26" s="13">
        <f t="shared" si="0"/>
        <v>320</v>
      </c>
      <c r="F26" s="13">
        <f t="shared" si="0"/>
        <v>520</v>
      </c>
      <c r="G26" s="13">
        <f t="shared" si="0"/>
        <v>220</v>
      </c>
      <c r="H26" s="13">
        <f t="shared" si="0"/>
        <v>352</v>
      </c>
      <c r="I26" s="13">
        <f t="shared" si="0"/>
        <v>167</v>
      </c>
      <c r="J26" s="13">
        <f t="shared" si="0"/>
        <v>261</v>
      </c>
      <c r="K26" s="13">
        <f t="shared" si="0"/>
        <v>1816</v>
      </c>
      <c r="L26" s="13">
        <f t="shared" si="0"/>
        <v>415</v>
      </c>
      <c r="M26" s="13">
        <f t="shared" si="0"/>
        <v>225</v>
      </c>
      <c r="N26" s="13">
        <f t="shared" si="0"/>
        <v>1697</v>
      </c>
      <c r="O26" s="13">
        <f t="shared" si="0"/>
        <v>530</v>
      </c>
      <c r="P26" s="13">
        <f t="shared" si="0"/>
        <v>1397</v>
      </c>
      <c r="Q26" s="13">
        <f t="shared" si="0"/>
        <v>1200</v>
      </c>
      <c r="R26" s="13">
        <f t="shared" si="0"/>
        <v>234</v>
      </c>
      <c r="S26" s="14">
        <f t="shared" si="0"/>
        <v>119</v>
      </c>
      <c r="T26" s="13">
        <f t="shared" si="0"/>
        <v>238</v>
      </c>
      <c r="U26" s="13">
        <f t="shared" si="0"/>
        <v>316</v>
      </c>
      <c r="V26" s="13">
        <f t="shared" si="0"/>
        <v>40</v>
      </c>
      <c r="W26" s="13">
        <f t="shared" si="0"/>
        <v>197</v>
      </c>
      <c r="X26" s="13">
        <f t="shared" si="0"/>
        <v>215</v>
      </c>
      <c r="Y26" s="13">
        <f t="shared" si="0"/>
        <v>274</v>
      </c>
      <c r="Z26" s="13">
        <f t="shared" si="0"/>
        <v>215</v>
      </c>
      <c r="AA26" s="13">
        <f t="shared" si="0"/>
        <v>3709</v>
      </c>
      <c r="AB26" s="13">
        <f t="shared" si="0"/>
        <v>2647</v>
      </c>
      <c r="AC26" s="13">
        <f t="shared" si="0"/>
        <v>0</v>
      </c>
      <c r="AD26" s="13">
        <f t="shared" si="0"/>
        <v>226</v>
      </c>
      <c r="AE26" s="13">
        <f t="shared" si="0"/>
        <v>278</v>
      </c>
      <c r="AF26" s="13">
        <f t="shared" si="0"/>
        <v>288</v>
      </c>
      <c r="AG26" s="15">
        <f t="shared" si="0"/>
        <v>19628</v>
      </c>
    </row>
  </sheetData>
  <mergeCells count="2">
    <mergeCell ref="A1:A2"/>
    <mergeCell ref="B1:AG2"/>
  </mergeCells>
  <pageMargins left="0" right="0" top="0" bottom="0" header="0" footer="0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A6BD-D31C-4D3E-8BC1-0C5136E084B2}">
  <sheetPr>
    <outlinePr summaryBelow="0" summaryRight="0"/>
  </sheetPr>
  <dimension ref="A1:AG26"/>
  <sheetViews>
    <sheetView showGridLines="0" zoomScale="74" workbookViewId="0">
      <pane xSplit="1" ySplit="3" topLeftCell="AE4" activePane="bottomRight" state="frozen"/>
      <selection pane="topRight" activeCell="B1" sqref="B1"/>
      <selection pane="bottomLeft" activeCell="A4" sqref="A4"/>
      <selection pane="bottomRight" activeCell="AF3" sqref="AF3:AF26"/>
    </sheetView>
  </sheetViews>
  <sheetFormatPr defaultColWidth="12.5546875" defaultRowHeight="15.75" customHeight="1" x14ac:dyDescent="0.25"/>
  <cols>
    <col min="1" max="1" width="27.6640625" customWidth="1"/>
    <col min="2" max="2" width="10.441406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11.3320312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>
        <v>930</v>
      </c>
      <c r="C5" s="5"/>
      <c r="D5" s="5"/>
      <c r="E5" s="5"/>
      <c r="F5" s="5"/>
      <c r="G5" s="5"/>
      <c r="H5" s="5"/>
      <c r="I5" s="5"/>
      <c r="J5" s="5"/>
      <c r="K5" s="5"/>
      <c r="L5" s="5">
        <v>309</v>
      </c>
      <c r="M5" s="5"/>
      <c r="N5" s="5"/>
      <c r="O5" s="5">
        <v>6500</v>
      </c>
      <c r="P5" s="5"/>
      <c r="Q5" s="5"/>
      <c r="R5" s="5"/>
      <c r="S5" s="5"/>
      <c r="T5" s="5"/>
      <c r="U5" s="5"/>
      <c r="V5" s="5"/>
      <c r="W5" s="5"/>
      <c r="X5" s="5">
        <v>11</v>
      </c>
      <c r="Y5" s="5"/>
      <c r="Z5" s="5"/>
      <c r="AA5" s="5"/>
      <c r="AB5" s="5">
        <v>22</v>
      </c>
      <c r="AC5" s="5"/>
      <c r="AD5" s="5"/>
      <c r="AE5" s="5">
        <v>39</v>
      </c>
      <c r="AF5" s="5"/>
      <c r="AG5" s="6">
        <f>SUM(B5:AF5)</f>
        <v>7811</v>
      </c>
    </row>
    <row r="6" spans="1:33" ht="13.2" x14ac:dyDescent="0.25">
      <c r="A6" s="8" t="s">
        <v>5</v>
      </c>
      <c r="B6" s="9" t="s">
        <v>826</v>
      </c>
      <c r="C6" s="9"/>
      <c r="D6" s="9"/>
      <c r="E6" s="9"/>
      <c r="F6" s="9"/>
      <c r="G6" s="9"/>
      <c r="H6" s="9"/>
      <c r="I6" s="9"/>
      <c r="J6" s="9"/>
      <c r="K6" s="9"/>
      <c r="L6" s="9" t="s">
        <v>632</v>
      </c>
      <c r="M6" s="9"/>
      <c r="N6" s="9"/>
      <c r="O6" s="9" t="s">
        <v>59</v>
      </c>
      <c r="P6" s="9"/>
      <c r="Q6" s="9"/>
      <c r="R6" s="9"/>
      <c r="S6" s="9"/>
      <c r="T6" s="9"/>
      <c r="U6" s="9"/>
      <c r="V6" s="9"/>
      <c r="W6" s="9"/>
      <c r="X6" s="9" t="s">
        <v>195</v>
      </c>
      <c r="Y6" s="9"/>
      <c r="Z6" s="9"/>
      <c r="AA6" s="9"/>
      <c r="AB6" s="9" t="s">
        <v>109</v>
      </c>
      <c r="AC6" s="9"/>
      <c r="AD6" s="9"/>
      <c r="AE6" s="9" t="s">
        <v>870</v>
      </c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>
        <v>50</v>
      </c>
      <c r="AA7" s="5"/>
      <c r="AB7" s="5">
        <v>450</v>
      </c>
      <c r="AC7" s="5"/>
      <c r="AD7" s="5"/>
      <c r="AE7" s="5"/>
      <c r="AF7" s="5"/>
      <c r="AG7" s="6">
        <f>SUM(B7:AF7)</f>
        <v>500</v>
      </c>
    </row>
    <row r="8" spans="1:33" ht="39.6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 t="s">
        <v>865</v>
      </c>
      <c r="AA8" s="9"/>
      <c r="AB8" s="9" t="s">
        <v>867</v>
      </c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/>
      <c r="C9" s="5">
        <v>800</v>
      </c>
      <c r="D9" s="5"/>
      <c r="E9" s="5">
        <v>200</v>
      </c>
      <c r="F9" s="5"/>
      <c r="G9" s="5">
        <v>300</v>
      </c>
      <c r="H9" s="5"/>
      <c r="I9" s="5">
        <v>700</v>
      </c>
      <c r="J9" s="5">
        <v>170</v>
      </c>
      <c r="K9" s="5"/>
      <c r="L9" s="5"/>
      <c r="M9" s="5">
        <v>31</v>
      </c>
      <c r="N9" s="5">
        <v>36</v>
      </c>
      <c r="O9" s="5"/>
      <c r="P9" s="5"/>
      <c r="Q9" s="5"/>
      <c r="R9" s="5"/>
      <c r="S9" s="5"/>
      <c r="T9" s="5"/>
      <c r="U9" s="5"/>
      <c r="V9" s="5"/>
      <c r="W9" s="5"/>
      <c r="X9" s="5">
        <v>100</v>
      </c>
      <c r="Y9" s="5"/>
      <c r="Z9" s="5"/>
      <c r="AA9" s="5"/>
      <c r="AB9" s="5"/>
      <c r="AC9" s="5"/>
      <c r="AD9" s="5"/>
      <c r="AE9" s="5"/>
      <c r="AF9" s="5"/>
      <c r="AG9" s="6">
        <f>SUM(B9:AF9)</f>
        <v>2337</v>
      </c>
    </row>
    <row r="10" spans="1:33" ht="33.75" customHeight="1" x14ac:dyDescent="0.25">
      <c r="A10" s="8" t="s">
        <v>5</v>
      </c>
      <c r="B10" s="9"/>
      <c r="C10" s="9" t="s">
        <v>828</v>
      </c>
      <c r="D10" s="9"/>
      <c r="E10" s="9" t="s">
        <v>17</v>
      </c>
      <c r="F10" s="9"/>
      <c r="G10" s="9" t="s">
        <v>835</v>
      </c>
      <c r="H10" s="9"/>
      <c r="I10" s="9" t="s">
        <v>838</v>
      </c>
      <c r="J10" s="9" t="s">
        <v>840</v>
      </c>
      <c r="K10" s="9"/>
      <c r="L10" s="9"/>
      <c r="M10" s="9" t="s">
        <v>113</v>
      </c>
      <c r="N10" s="9" t="s">
        <v>113</v>
      </c>
      <c r="O10" s="9"/>
      <c r="P10" s="9"/>
      <c r="Q10" s="9"/>
      <c r="R10" s="9"/>
      <c r="S10" s="9"/>
      <c r="T10" s="9"/>
      <c r="U10" s="9"/>
      <c r="V10" s="9"/>
      <c r="W10" s="9"/>
      <c r="X10" s="9" t="s">
        <v>861</v>
      </c>
      <c r="Y10" s="9"/>
      <c r="Z10" s="9"/>
      <c r="AA10" s="9"/>
      <c r="AB10" s="9"/>
      <c r="AC10" s="9"/>
      <c r="AD10" s="9"/>
      <c r="AE10" s="9"/>
      <c r="AF10" s="9"/>
      <c r="AG10" s="10"/>
    </row>
    <row r="11" spans="1:33" ht="13.2" x14ac:dyDescent="0.25">
      <c r="A11" s="7" t="s">
        <v>21</v>
      </c>
      <c r="B11" s="5">
        <v>143</v>
      </c>
      <c r="C11" s="5"/>
      <c r="D11" s="5"/>
      <c r="E11" s="5">
        <v>12</v>
      </c>
      <c r="F11" s="5"/>
      <c r="G11" s="5"/>
      <c r="H11" s="5"/>
      <c r="I11" s="5"/>
      <c r="J11" s="5">
        <v>69</v>
      </c>
      <c r="K11" s="5">
        <v>40</v>
      </c>
      <c r="L11" s="5">
        <v>44</v>
      </c>
      <c r="M11" s="5">
        <v>50</v>
      </c>
      <c r="N11" s="5">
        <v>50</v>
      </c>
      <c r="O11" s="5">
        <v>20</v>
      </c>
      <c r="P11" s="5">
        <v>30</v>
      </c>
      <c r="Q11" s="5">
        <v>35</v>
      </c>
      <c r="R11" s="5">
        <v>28</v>
      </c>
      <c r="S11" s="5">
        <v>17</v>
      </c>
      <c r="T11" s="5">
        <v>372</v>
      </c>
      <c r="U11" s="5">
        <v>32</v>
      </c>
      <c r="V11" s="5">
        <v>36</v>
      </c>
      <c r="W11" s="5">
        <v>100</v>
      </c>
      <c r="X11" s="5"/>
      <c r="Y11" s="5">
        <v>110</v>
      </c>
      <c r="Z11" s="5"/>
      <c r="AA11" s="5"/>
      <c r="AB11" s="5"/>
      <c r="AC11" s="5"/>
      <c r="AD11" s="5">
        <v>69</v>
      </c>
      <c r="AE11" s="5"/>
      <c r="AF11" s="5"/>
      <c r="AG11" s="6">
        <f>SUM(B11:AF11)</f>
        <v>1257</v>
      </c>
    </row>
    <row r="12" spans="1:33" ht="42" customHeight="1" x14ac:dyDescent="0.25">
      <c r="A12" s="8" t="s">
        <v>5</v>
      </c>
      <c r="B12" s="9" t="s">
        <v>584</v>
      </c>
      <c r="C12" s="9"/>
      <c r="D12" s="9"/>
      <c r="E12" s="9" t="s">
        <v>152</v>
      </c>
      <c r="F12" s="9"/>
      <c r="G12" s="9"/>
      <c r="H12" s="9"/>
      <c r="I12" s="9"/>
      <c r="J12" s="9" t="s">
        <v>584</v>
      </c>
      <c r="K12" s="9" t="s">
        <v>39</v>
      </c>
      <c r="L12" s="9" t="s">
        <v>820</v>
      </c>
      <c r="M12" s="9" t="s">
        <v>844</v>
      </c>
      <c r="N12" s="9" t="s">
        <v>820</v>
      </c>
      <c r="O12" s="9" t="s">
        <v>845</v>
      </c>
      <c r="P12" s="9" t="s">
        <v>847</v>
      </c>
      <c r="Q12" s="9" t="s">
        <v>849</v>
      </c>
      <c r="R12" s="9" t="s">
        <v>850</v>
      </c>
      <c r="S12" s="9" t="s">
        <v>851</v>
      </c>
      <c r="T12" s="9" t="s">
        <v>853</v>
      </c>
      <c r="U12" s="9" t="s">
        <v>857</v>
      </c>
      <c r="V12" s="9" t="s">
        <v>39</v>
      </c>
      <c r="W12" s="9" t="s">
        <v>860</v>
      </c>
      <c r="X12" s="9"/>
      <c r="Y12" s="9" t="s">
        <v>507</v>
      </c>
      <c r="Z12" s="9"/>
      <c r="AA12" s="9"/>
      <c r="AB12" s="9"/>
      <c r="AC12" s="9"/>
      <c r="AD12" s="9" t="s">
        <v>584</v>
      </c>
      <c r="AE12" s="9"/>
      <c r="AF12" s="9"/>
      <c r="AG12" s="10"/>
    </row>
    <row r="13" spans="1:33" ht="13.2" x14ac:dyDescent="0.25">
      <c r="A13" s="7" t="s">
        <v>24</v>
      </c>
      <c r="B13" s="5"/>
      <c r="C13" s="5">
        <v>80</v>
      </c>
      <c r="D13" s="5">
        <v>170</v>
      </c>
      <c r="E13" s="5">
        <v>170</v>
      </c>
      <c r="F13" s="5">
        <v>151</v>
      </c>
      <c r="G13" s="5">
        <v>482</v>
      </c>
      <c r="H13" s="5"/>
      <c r="I13" s="5">
        <v>20</v>
      </c>
      <c r="J13" s="5"/>
      <c r="K13" s="5">
        <v>300</v>
      </c>
      <c r="L13" s="5">
        <v>165</v>
      </c>
      <c r="M13" s="5">
        <v>180</v>
      </c>
      <c r="N13" s="5">
        <v>95</v>
      </c>
      <c r="O13" s="5">
        <v>120</v>
      </c>
      <c r="P13" s="5">
        <v>170</v>
      </c>
      <c r="Q13" s="5">
        <v>285</v>
      </c>
      <c r="R13" s="5">
        <v>100</v>
      </c>
      <c r="S13" s="5">
        <v>165</v>
      </c>
      <c r="T13" s="5">
        <v>150</v>
      </c>
      <c r="U13" s="5">
        <v>150</v>
      </c>
      <c r="V13" s="5">
        <v>320</v>
      </c>
      <c r="W13" s="5">
        <v>270</v>
      </c>
      <c r="X13" s="5">
        <v>60</v>
      </c>
      <c r="Y13" s="5">
        <v>170</v>
      </c>
      <c r="Z13" s="5">
        <v>200</v>
      </c>
      <c r="AA13" s="5">
        <v>666</v>
      </c>
      <c r="AB13" s="5"/>
      <c r="AC13" s="5"/>
      <c r="AD13" s="5">
        <v>60</v>
      </c>
      <c r="AE13" s="5">
        <v>150</v>
      </c>
      <c r="AF13" s="5"/>
      <c r="AG13" s="6">
        <f>SUM(B13:AF13)</f>
        <v>4849</v>
      </c>
    </row>
    <row r="14" spans="1:33" ht="58.5" customHeight="1" x14ac:dyDescent="0.25">
      <c r="A14" s="8" t="s">
        <v>5</v>
      </c>
      <c r="B14" s="9"/>
      <c r="C14" s="9" t="s">
        <v>829</v>
      </c>
      <c r="D14" s="9" t="s">
        <v>331</v>
      </c>
      <c r="E14" s="9" t="s">
        <v>832</v>
      </c>
      <c r="F14" s="9" t="s">
        <v>833</v>
      </c>
      <c r="G14" s="9" t="s">
        <v>837</v>
      </c>
      <c r="H14" s="9"/>
      <c r="I14" s="9" t="s">
        <v>839</v>
      </c>
      <c r="J14" s="9"/>
      <c r="K14" s="9" t="s">
        <v>841</v>
      </c>
      <c r="L14" s="9" t="s">
        <v>842</v>
      </c>
      <c r="M14" s="9" t="s">
        <v>843</v>
      </c>
      <c r="N14" s="9" t="s">
        <v>139</v>
      </c>
      <c r="O14" s="9" t="s">
        <v>525</v>
      </c>
      <c r="P14" s="9" t="s">
        <v>846</v>
      </c>
      <c r="Q14" s="9" t="s">
        <v>848</v>
      </c>
      <c r="R14" s="9" t="s">
        <v>579</v>
      </c>
      <c r="S14" s="9" t="s">
        <v>852</v>
      </c>
      <c r="T14" s="9" t="s">
        <v>854</v>
      </c>
      <c r="U14" s="9" t="s">
        <v>856</v>
      </c>
      <c r="V14" s="9" t="s">
        <v>858</v>
      </c>
      <c r="W14" s="9" t="s">
        <v>859</v>
      </c>
      <c r="X14" s="9" t="s">
        <v>863</v>
      </c>
      <c r="Y14" s="9" t="s">
        <v>525</v>
      </c>
      <c r="Z14" s="9" t="s">
        <v>864</v>
      </c>
      <c r="AA14" s="9" t="s">
        <v>866</v>
      </c>
      <c r="AB14" s="9"/>
      <c r="AC14" s="9"/>
      <c r="AD14" s="9" t="s">
        <v>657</v>
      </c>
      <c r="AE14" s="9" t="s">
        <v>871</v>
      </c>
      <c r="AF14" s="9"/>
      <c r="AG14" s="10"/>
    </row>
    <row r="15" spans="1:33" ht="13.2" x14ac:dyDescent="0.25">
      <c r="A15" s="7" t="s">
        <v>44</v>
      </c>
      <c r="B15" s="5">
        <v>80</v>
      </c>
      <c r="C15" s="5">
        <v>86</v>
      </c>
      <c r="D15" s="5"/>
      <c r="E15" s="5"/>
      <c r="F15" s="5">
        <v>20</v>
      </c>
      <c r="G15" s="5">
        <v>1282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30</v>
      </c>
      <c r="U15" s="5"/>
      <c r="V15" s="5"/>
      <c r="W15" s="5"/>
      <c r="X15" s="5">
        <v>74</v>
      </c>
      <c r="Y15" s="5"/>
      <c r="Z15" s="5">
        <v>32</v>
      </c>
      <c r="AA15" s="5"/>
      <c r="AB15" s="5"/>
      <c r="AC15" s="5">
        <v>275</v>
      </c>
      <c r="AD15" s="5">
        <v>140</v>
      </c>
      <c r="AE15" s="5"/>
      <c r="AF15" s="5"/>
      <c r="AG15" s="6">
        <f>SUM(B15:AF15)</f>
        <v>2019</v>
      </c>
    </row>
    <row r="16" spans="1:33" ht="17.25" customHeight="1" x14ac:dyDescent="0.25">
      <c r="A16" s="8" t="s">
        <v>5</v>
      </c>
      <c r="B16" s="9" t="s">
        <v>827</v>
      </c>
      <c r="C16" s="9" t="s">
        <v>830</v>
      </c>
      <c r="D16" s="9"/>
      <c r="E16" s="9"/>
      <c r="F16" s="9" t="s">
        <v>834</v>
      </c>
      <c r="G16" s="9" t="s">
        <v>836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 t="s">
        <v>855</v>
      </c>
      <c r="U16" s="9"/>
      <c r="V16" s="9"/>
      <c r="W16" s="9"/>
      <c r="X16" s="9" t="s">
        <v>862</v>
      </c>
      <c r="Y16" s="9"/>
      <c r="Z16" s="9" t="s">
        <v>448</v>
      </c>
      <c r="AA16" s="9"/>
      <c r="AB16" s="9"/>
      <c r="AC16" s="9" t="s">
        <v>868</v>
      </c>
      <c r="AD16" s="9" t="s">
        <v>869</v>
      </c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f>SUM(B17:AF17)</f>
        <v>0</v>
      </c>
    </row>
    <row r="18" spans="1:33" ht="13.2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786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0</v>
      </c>
    </row>
    <row r="20" spans="1:33" ht="13.2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>
        <v>630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>
        <v>25</v>
      </c>
      <c r="AA23" s="5"/>
      <c r="AB23" s="5"/>
      <c r="AC23" s="5"/>
      <c r="AD23" s="5"/>
      <c r="AE23" s="5"/>
      <c r="AF23" s="5"/>
      <c r="AG23" s="6">
        <f>SUM(B23:AF23)</f>
        <v>655</v>
      </c>
    </row>
    <row r="24" spans="1:33" ht="26.4" x14ac:dyDescent="0.25">
      <c r="A24" s="8" t="s">
        <v>5</v>
      </c>
      <c r="B24" s="9"/>
      <c r="C24" s="9"/>
      <c r="D24" s="9" t="s">
        <v>831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 t="s">
        <v>637</v>
      </c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>SUM(B5+B7+B9+B11+B13+B15+B17+B19+B21+B23)</f>
        <v>1153</v>
      </c>
      <c r="C26" s="13">
        <f>SUM(C5+C7+C9+C11+C13+C15+C17+C19+C21+C23)</f>
        <v>966</v>
      </c>
      <c r="D26" s="13">
        <f t="shared" ref="D26:AG26" si="0">SUM(D5+D7+D9+D11+D13+D15+D17+D19+D21+D23)</f>
        <v>800</v>
      </c>
      <c r="E26" s="13">
        <f t="shared" si="0"/>
        <v>382</v>
      </c>
      <c r="F26" s="13">
        <f t="shared" si="0"/>
        <v>171</v>
      </c>
      <c r="G26" s="13">
        <f t="shared" si="0"/>
        <v>2064</v>
      </c>
      <c r="H26" s="13">
        <f t="shared" si="0"/>
        <v>0</v>
      </c>
      <c r="I26" s="13">
        <f t="shared" si="0"/>
        <v>720</v>
      </c>
      <c r="J26" s="13">
        <f t="shared" si="0"/>
        <v>239</v>
      </c>
      <c r="K26" s="13">
        <f t="shared" si="0"/>
        <v>340</v>
      </c>
      <c r="L26" s="13">
        <f t="shared" si="0"/>
        <v>518</v>
      </c>
      <c r="M26" s="13">
        <f t="shared" si="0"/>
        <v>261</v>
      </c>
      <c r="N26" s="13">
        <f t="shared" si="0"/>
        <v>181</v>
      </c>
      <c r="O26" s="13">
        <f t="shared" si="0"/>
        <v>6640</v>
      </c>
      <c r="P26" s="13">
        <f t="shared" si="0"/>
        <v>200</v>
      </c>
      <c r="Q26" s="13">
        <f t="shared" si="0"/>
        <v>320</v>
      </c>
      <c r="R26" s="13">
        <f t="shared" si="0"/>
        <v>128</v>
      </c>
      <c r="S26" s="14">
        <f t="shared" si="0"/>
        <v>182</v>
      </c>
      <c r="T26" s="13">
        <f t="shared" si="0"/>
        <v>552</v>
      </c>
      <c r="U26" s="13">
        <f t="shared" si="0"/>
        <v>182</v>
      </c>
      <c r="V26" s="13">
        <f t="shared" si="0"/>
        <v>356</v>
      </c>
      <c r="W26" s="13">
        <f t="shared" si="0"/>
        <v>370</v>
      </c>
      <c r="X26" s="13">
        <f t="shared" si="0"/>
        <v>245</v>
      </c>
      <c r="Y26" s="13">
        <f t="shared" si="0"/>
        <v>280</v>
      </c>
      <c r="Z26" s="13">
        <f t="shared" si="0"/>
        <v>307</v>
      </c>
      <c r="AA26" s="13">
        <f t="shared" si="0"/>
        <v>666</v>
      </c>
      <c r="AB26" s="13">
        <f t="shared" si="0"/>
        <v>472</v>
      </c>
      <c r="AC26" s="13">
        <f t="shared" si="0"/>
        <v>275</v>
      </c>
      <c r="AD26" s="13">
        <f t="shared" si="0"/>
        <v>269</v>
      </c>
      <c r="AE26" s="13">
        <f>SUM(AE5+AE7+AE9+AE11+AE13+AE15+AE17+AE19+AE21+AE23)</f>
        <v>189</v>
      </c>
      <c r="AF26" s="13">
        <f t="shared" si="0"/>
        <v>0</v>
      </c>
      <c r="AG26" s="15">
        <f t="shared" si="0"/>
        <v>19428</v>
      </c>
    </row>
  </sheetData>
  <mergeCells count="2">
    <mergeCell ref="A1:A2"/>
    <mergeCell ref="B1:AG2"/>
  </mergeCells>
  <pageMargins left="0" right="0" top="0" bottom="0" header="0" footer="0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F376-E39B-47D2-877F-9ED09775DC35}">
  <sheetPr>
    <outlinePr summaryBelow="0" summaryRight="0"/>
  </sheetPr>
  <dimension ref="A1:AG26"/>
  <sheetViews>
    <sheetView showGridLines="0" zoomScale="74" workbookViewId="0">
      <pane xSplit="1" ySplit="3" topLeftCell="AB4" activePane="bottomRight" state="frozen"/>
      <selection pane="topRight" activeCell="B1" sqref="B1"/>
      <selection pane="bottomLeft" activeCell="A4" sqref="A4"/>
      <selection pane="bottomRight" activeCell="AG3" sqref="AG3:AG26"/>
    </sheetView>
  </sheetViews>
  <sheetFormatPr defaultColWidth="12.5546875" defaultRowHeight="15.75" customHeight="1" x14ac:dyDescent="0.25"/>
  <cols>
    <col min="1" max="1" width="27.6640625" customWidth="1"/>
    <col min="2" max="2" width="10.44140625" customWidth="1"/>
    <col min="3" max="3" width="11.88671875" customWidth="1"/>
    <col min="4" max="4" width="11.33203125" customWidth="1"/>
    <col min="5" max="5" width="14" customWidth="1"/>
    <col min="6" max="6" width="13.109375" customWidth="1"/>
    <col min="7" max="7" width="10.6640625" customWidth="1"/>
    <col min="8" max="8" width="12.5546875" customWidth="1"/>
    <col min="9" max="9" width="9.33203125" customWidth="1"/>
    <col min="10" max="10" width="14.88671875" customWidth="1"/>
    <col min="11" max="11" width="10.6640625" customWidth="1"/>
    <col min="12" max="12" width="11.5546875" customWidth="1"/>
    <col min="13" max="13" width="10.109375" customWidth="1"/>
    <col min="14" max="14" width="12.6640625" customWidth="1"/>
    <col min="15" max="15" width="9.33203125" customWidth="1"/>
    <col min="16" max="16" width="10.88671875" customWidth="1"/>
    <col min="17" max="17" width="9.33203125" customWidth="1"/>
    <col min="18" max="18" width="11.88671875" customWidth="1"/>
    <col min="19" max="19" width="11.33203125" customWidth="1"/>
    <col min="20" max="20" width="11" customWidth="1"/>
    <col min="21" max="22" width="9.33203125" customWidth="1"/>
    <col min="23" max="23" width="12.88671875" customWidth="1"/>
    <col min="24" max="24" width="14.6640625" customWidth="1"/>
    <col min="25" max="25" width="9.33203125" customWidth="1"/>
    <col min="26" max="26" width="10.44140625" customWidth="1"/>
    <col min="27" max="28" width="9.33203125" customWidth="1"/>
    <col min="29" max="29" width="11.44140625" customWidth="1"/>
    <col min="30" max="30" width="12.33203125" customWidth="1"/>
    <col min="31" max="31" width="10.88671875" customWidth="1"/>
    <col min="32" max="32" width="11.33203125" customWidth="1"/>
    <col min="33" max="33" width="9.33203125" customWidth="1"/>
  </cols>
  <sheetData>
    <row r="1" spans="1:33" ht="13.2" x14ac:dyDescent="0.25">
      <c r="A1" s="22"/>
      <c r="B1" s="24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</row>
    <row r="2" spans="1:33" ht="13.2" x14ac:dyDescent="0.25">
      <c r="A2" s="23"/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9"/>
    </row>
    <row r="3" spans="1:33" ht="13.2" x14ac:dyDescent="0.25">
      <c r="A3" s="1" t="s">
        <v>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2">
        <v>17</v>
      </c>
      <c r="S3" s="2">
        <v>18</v>
      </c>
      <c r="T3" s="2">
        <v>19</v>
      </c>
      <c r="U3" s="2">
        <v>20</v>
      </c>
      <c r="V3" s="2">
        <v>21</v>
      </c>
      <c r="W3" s="2">
        <v>22</v>
      </c>
      <c r="X3" s="2">
        <v>23</v>
      </c>
      <c r="Y3" s="2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3" t="s">
        <v>2</v>
      </c>
    </row>
    <row r="4" spans="1:33" ht="13.2" x14ac:dyDescent="0.25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ht="13.2" x14ac:dyDescent="0.25">
      <c r="A5" s="7" t="s">
        <v>4</v>
      </c>
      <c r="B5" s="5"/>
      <c r="C5" s="5"/>
      <c r="D5" s="5">
        <v>11</v>
      </c>
      <c r="E5" s="5">
        <v>50</v>
      </c>
      <c r="F5" s="5">
        <v>11</v>
      </c>
      <c r="G5" s="5"/>
      <c r="H5" s="5"/>
      <c r="I5" s="5"/>
      <c r="J5" s="5"/>
      <c r="K5" s="5">
        <v>6500</v>
      </c>
      <c r="L5" s="5"/>
      <c r="M5" s="5"/>
      <c r="N5" s="5"/>
      <c r="O5" s="5"/>
      <c r="P5" s="5"/>
      <c r="Q5" s="5"/>
      <c r="R5" s="5">
        <v>37</v>
      </c>
      <c r="S5" s="5">
        <v>290</v>
      </c>
      <c r="T5" s="5"/>
      <c r="U5" s="5"/>
      <c r="V5" s="5"/>
      <c r="W5" s="5"/>
      <c r="X5" s="5"/>
      <c r="Y5" s="5"/>
      <c r="Z5" s="5"/>
      <c r="AA5" s="5">
        <v>199</v>
      </c>
      <c r="AB5" s="5"/>
      <c r="AC5" s="5"/>
      <c r="AD5" s="5"/>
      <c r="AE5" s="5"/>
      <c r="AF5" s="5"/>
      <c r="AG5" s="6">
        <f>SUM(B5:AF5)</f>
        <v>7098</v>
      </c>
    </row>
    <row r="6" spans="1:33" ht="13.2" x14ac:dyDescent="0.25">
      <c r="A6" s="8" t="s">
        <v>5</v>
      </c>
      <c r="B6" s="9"/>
      <c r="C6" s="9"/>
      <c r="D6" s="9" t="s">
        <v>109</v>
      </c>
      <c r="E6" s="9" t="s">
        <v>109</v>
      </c>
      <c r="F6" s="9" t="s">
        <v>109</v>
      </c>
      <c r="G6" s="9"/>
      <c r="H6" s="9"/>
      <c r="I6" s="9"/>
      <c r="J6" s="9"/>
      <c r="K6" s="9" t="s">
        <v>703</v>
      </c>
      <c r="L6" s="9" t="s">
        <v>109</v>
      </c>
      <c r="M6" s="9"/>
      <c r="N6" s="9"/>
      <c r="O6" s="9"/>
      <c r="P6" s="9"/>
      <c r="Q6" s="9"/>
      <c r="R6" s="9" t="s">
        <v>593</v>
      </c>
      <c r="S6" s="9" t="s">
        <v>593</v>
      </c>
      <c r="T6" s="9"/>
      <c r="U6" s="9"/>
      <c r="V6" s="9"/>
      <c r="W6" s="9"/>
      <c r="X6" s="9"/>
      <c r="Y6" s="9"/>
      <c r="Z6" s="9"/>
      <c r="AA6" s="9" t="s">
        <v>109</v>
      </c>
      <c r="AB6" s="9"/>
      <c r="AC6" s="9"/>
      <c r="AD6" s="9"/>
      <c r="AE6" s="9"/>
      <c r="AF6" s="9"/>
      <c r="AG6" s="10"/>
    </row>
    <row r="7" spans="1:33" ht="26.4" x14ac:dyDescent="0.25">
      <c r="A7" s="7" t="s">
        <v>15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f>SUM(B7:AF7)</f>
        <v>0</v>
      </c>
    </row>
    <row r="8" spans="1:33" ht="13.2" x14ac:dyDescent="0.25">
      <c r="A8" s="8" t="s">
        <v>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10"/>
    </row>
    <row r="9" spans="1:33" ht="13.2" x14ac:dyDescent="0.25">
      <c r="A9" s="7" t="s">
        <v>16</v>
      </c>
      <c r="B9" s="5">
        <v>200</v>
      </c>
      <c r="C9" s="5"/>
      <c r="D9" s="5"/>
      <c r="E9" s="5"/>
      <c r="F9" s="5"/>
      <c r="G9" s="5"/>
      <c r="H9" s="5">
        <v>195</v>
      </c>
      <c r="I9" s="5">
        <v>150</v>
      </c>
      <c r="J9" s="5"/>
      <c r="K9" s="5"/>
      <c r="L9" s="5">
        <v>200</v>
      </c>
      <c r="M9" s="5">
        <v>150</v>
      </c>
      <c r="N9" s="5">
        <v>150</v>
      </c>
      <c r="O9" s="5"/>
      <c r="P9" s="5">
        <v>460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>
        <f>SUM(B9:AF9)</f>
        <v>1505</v>
      </c>
    </row>
    <row r="10" spans="1:33" ht="33.75" customHeight="1" x14ac:dyDescent="0.25">
      <c r="A10" s="8" t="s">
        <v>5</v>
      </c>
      <c r="B10" s="9" t="s">
        <v>17</v>
      </c>
      <c r="C10" s="9"/>
      <c r="D10" s="9"/>
      <c r="E10" s="9"/>
      <c r="F10" s="9"/>
      <c r="G10" s="9"/>
      <c r="H10" s="9" t="s">
        <v>376</v>
      </c>
      <c r="I10" s="9" t="s">
        <v>17</v>
      </c>
      <c r="J10" s="9"/>
      <c r="K10" s="9"/>
      <c r="L10" s="9" t="s">
        <v>322</v>
      </c>
      <c r="M10" s="9" t="s">
        <v>17</v>
      </c>
      <c r="N10" s="9" t="s">
        <v>17</v>
      </c>
      <c r="O10" s="9"/>
      <c r="P10" s="9" t="s">
        <v>885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</row>
    <row r="11" spans="1:33" ht="13.2" x14ac:dyDescent="0.25">
      <c r="A11" s="7" t="s">
        <v>21</v>
      </c>
      <c r="B11" s="5"/>
      <c r="C11" s="5">
        <v>22</v>
      </c>
      <c r="D11" s="5">
        <v>25</v>
      </c>
      <c r="E11" s="5"/>
      <c r="F11" s="5">
        <v>69</v>
      </c>
      <c r="G11" s="5"/>
      <c r="H11" s="5">
        <v>80</v>
      </c>
      <c r="I11" s="5">
        <v>66</v>
      </c>
      <c r="J11" s="5">
        <v>61</v>
      </c>
      <c r="K11" s="5"/>
      <c r="L11" s="5"/>
      <c r="M11" s="5"/>
      <c r="N11" s="5"/>
      <c r="O11" s="5"/>
      <c r="P11" s="5"/>
      <c r="Q11" s="5"/>
      <c r="R11" s="5"/>
      <c r="S11" s="5"/>
      <c r="T11" s="5">
        <v>80</v>
      </c>
      <c r="U11" s="5">
        <v>16</v>
      </c>
      <c r="V11" s="5"/>
      <c r="W11" s="5"/>
      <c r="X11" s="5"/>
      <c r="Y11" s="5">
        <v>32</v>
      </c>
      <c r="Z11" s="5"/>
      <c r="AA11" s="5"/>
      <c r="AB11" s="5"/>
      <c r="AC11" s="5"/>
      <c r="AD11" s="5"/>
      <c r="AE11" s="5"/>
      <c r="AF11" s="5"/>
      <c r="AG11" s="6">
        <f>SUM(B11:AF11)</f>
        <v>451</v>
      </c>
    </row>
    <row r="12" spans="1:33" ht="42" customHeight="1" x14ac:dyDescent="0.25">
      <c r="A12" s="8" t="s">
        <v>5</v>
      </c>
      <c r="B12" s="9"/>
      <c r="C12" s="9" t="s">
        <v>684</v>
      </c>
      <c r="D12" s="9" t="s">
        <v>872</v>
      </c>
      <c r="E12" s="9"/>
      <c r="F12" s="9" t="s">
        <v>584</v>
      </c>
      <c r="G12" s="9"/>
      <c r="H12" s="9" t="s">
        <v>873</v>
      </c>
      <c r="I12" s="9" t="s">
        <v>875</v>
      </c>
      <c r="J12" s="9" t="s">
        <v>877</v>
      </c>
      <c r="K12" s="9"/>
      <c r="L12" s="9"/>
      <c r="M12" s="9"/>
      <c r="N12" s="9"/>
      <c r="O12" s="9"/>
      <c r="P12" s="9"/>
      <c r="Q12" s="9"/>
      <c r="R12" s="9"/>
      <c r="S12" s="9"/>
      <c r="T12" s="9" t="s">
        <v>286</v>
      </c>
      <c r="U12" s="9" t="s">
        <v>684</v>
      </c>
      <c r="V12" s="9"/>
      <c r="W12" s="9"/>
      <c r="X12" s="9"/>
      <c r="Y12" s="9" t="s">
        <v>684</v>
      </c>
      <c r="Z12" s="9"/>
      <c r="AA12" s="9"/>
      <c r="AB12" s="9"/>
      <c r="AC12" s="9"/>
      <c r="AD12" s="9"/>
      <c r="AE12" s="9"/>
      <c r="AF12" s="9"/>
      <c r="AG12" s="10"/>
    </row>
    <row r="13" spans="1:33" ht="13.2" x14ac:dyDescent="0.25">
      <c r="A13" s="7" t="s">
        <v>24</v>
      </c>
      <c r="B13" s="5"/>
      <c r="C13" s="5"/>
      <c r="D13" s="5"/>
      <c r="E13" s="5"/>
      <c r="F13" s="5"/>
      <c r="G13" s="5"/>
      <c r="H13" s="5">
        <v>40</v>
      </c>
      <c r="I13" s="5">
        <v>325</v>
      </c>
      <c r="J13" s="5">
        <v>310</v>
      </c>
      <c r="K13" s="5">
        <v>314</v>
      </c>
      <c r="L13" s="5">
        <v>210</v>
      </c>
      <c r="M13" s="5">
        <v>120</v>
      </c>
      <c r="N13" s="5">
        <v>74</v>
      </c>
      <c r="O13" s="5">
        <v>100</v>
      </c>
      <c r="P13" s="5">
        <v>260</v>
      </c>
      <c r="Q13" s="5">
        <v>255</v>
      </c>
      <c r="R13" s="5">
        <v>355</v>
      </c>
      <c r="S13" s="5">
        <v>440</v>
      </c>
      <c r="T13" s="5">
        <v>400</v>
      </c>
      <c r="U13" s="5">
        <v>160</v>
      </c>
      <c r="V13" s="5">
        <v>227</v>
      </c>
      <c r="W13" s="5">
        <v>405</v>
      </c>
      <c r="X13" s="5">
        <v>166</v>
      </c>
      <c r="Y13" s="5">
        <v>255</v>
      </c>
      <c r="Z13" s="5">
        <v>266</v>
      </c>
      <c r="AA13" s="5">
        <v>262</v>
      </c>
      <c r="AB13" s="5">
        <v>455</v>
      </c>
      <c r="AC13" s="5">
        <v>200</v>
      </c>
      <c r="AD13" s="5">
        <v>420</v>
      </c>
      <c r="AE13" s="5">
        <v>307</v>
      </c>
      <c r="AF13" s="5">
        <v>676</v>
      </c>
      <c r="AG13" s="6">
        <f>SUM(B13:AF13)</f>
        <v>7002</v>
      </c>
    </row>
    <row r="14" spans="1:33" ht="58.5" customHeight="1" x14ac:dyDescent="0.25">
      <c r="A14" s="8" t="s">
        <v>5</v>
      </c>
      <c r="B14" s="9"/>
      <c r="C14" s="9"/>
      <c r="D14" s="9"/>
      <c r="E14" s="9"/>
      <c r="F14" s="9"/>
      <c r="G14" s="9"/>
      <c r="H14" s="9" t="s">
        <v>874</v>
      </c>
      <c r="I14" s="9" t="s">
        <v>876</v>
      </c>
      <c r="J14" s="9" t="s">
        <v>878</v>
      </c>
      <c r="K14" s="9" t="s">
        <v>880</v>
      </c>
      <c r="L14" s="9" t="s">
        <v>882</v>
      </c>
      <c r="M14" s="9" t="s">
        <v>331</v>
      </c>
      <c r="N14" s="9" t="s">
        <v>883</v>
      </c>
      <c r="O14" s="9" t="s">
        <v>286</v>
      </c>
      <c r="P14" s="9" t="s">
        <v>886</v>
      </c>
      <c r="Q14" s="9" t="s">
        <v>887</v>
      </c>
      <c r="R14" s="9" t="s">
        <v>889</v>
      </c>
      <c r="S14" s="9" t="s">
        <v>894</v>
      </c>
      <c r="T14" s="9" t="s">
        <v>890</v>
      </c>
      <c r="U14" s="9" t="s">
        <v>896</v>
      </c>
      <c r="V14" s="9" t="s">
        <v>743</v>
      </c>
      <c r="W14" s="9" t="s">
        <v>897</v>
      </c>
      <c r="X14" s="9" t="s">
        <v>899</v>
      </c>
      <c r="Y14" s="9" t="s">
        <v>901</v>
      </c>
      <c r="Z14" s="9" t="s">
        <v>902</v>
      </c>
      <c r="AA14" s="9" t="s">
        <v>903</v>
      </c>
      <c r="AB14" s="9" t="s">
        <v>904</v>
      </c>
      <c r="AC14" s="9" t="s">
        <v>286</v>
      </c>
      <c r="AD14" s="9" t="s">
        <v>905</v>
      </c>
      <c r="AE14" s="9" t="s">
        <v>906</v>
      </c>
      <c r="AF14" s="9" t="s">
        <v>907</v>
      </c>
      <c r="AG14" s="10"/>
    </row>
    <row r="15" spans="1:33" ht="13.2" x14ac:dyDescent="0.25">
      <c r="A15" s="7" t="s">
        <v>44</v>
      </c>
      <c r="B15" s="5"/>
      <c r="C15" s="5"/>
      <c r="D15" s="5"/>
      <c r="E15" s="5">
        <v>466</v>
      </c>
      <c r="F15" s="5">
        <v>540</v>
      </c>
      <c r="G15" s="5">
        <v>2330</v>
      </c>
      <c r="H15" s="5">
        <v>663</v>
      </c>
      <c r="I15" s="5"/>
      <c r="J15" s="5"/>
      <c r="K15" s="5">
        <v>197</v>
      </c>
      <c r="L15" s="5"/>
      <c r="M15" s="5"/>
      <c r="N15" s="5"/>
      <c r="O15" s="5"/>
      <c r="P15" s="5">
        <v>100</v>
      </c>
      <c r="Q15" s="5">
        <v>145</v>
      </c>
      <c r="R15" s="5"/>
      <c r="S15" s="5"/>
      <c r="T15" s="5"/>
      <c r="U15" s="5">
        <v>200</v>
      </c>
      <c r="V15" s="5"/>
      <c r="W15" s="5">
        <v>234</v>
      </c>
      <c r="X15" s="5">
        <v>597</v>
      </c>
      <c r="Y15" s="5">
        <v>169</v>
      </c>
      <c r="Z15" s="5"/>
      <c r="AA15" s="5"/>
      <c r="AB15" s="5"/>
      <c r="AC15" s="5"/>
      <c r="AD15" s="5"/>
      <c r="AE15" s="5"/>
      <c r="AF15" s="5"/>
      <c r="AG15" s="6">
        <f>SUM(B15:AF15)</f>
        <v>5641</v>
      </c>
    </row>
    <row r="16" spans="1:33" ht="17.25" customHeight="1" x14ac:dyDescent="0.25">
      <c r="A16" s="8" t="s">
        <v>5</v>
      </c>
      <c r="B16" s="9"/>
      <c r="C16" s="9"/>
      <c r="D16" s="9"/>
      <c r="E16" s="9" t="s">
        <v>603</v>
      </c>
      <c r="F16" s="9" t="s">
        <v>891</v>
      </c>
      <c r="G16" s="9" t="s">
        <v>892</v>
      </c>
      <c r="H16" s="9" t="s">
        <v>603</v>
      </c>
      <c r="I16" s="9"/>
      <c r="J16" s="9"/>
      <c r="K16" s="9" t="s">
        <v>879</v>
      </c>
      <c r="L16" s="9"/>
      <c r="M16" s="9"/>
      <c r="N16" s="9"/>
      <c r="O16" s="9"/>
      <c r="P16" s="9" t="s">
        <v>884</v>
      </c>
      <c r="Q16" s="9" t="s">
        <v>893</v>
      </c>
      <c r="R16" s="9"/>
      <c r="S16" s="9"/>
      <c r="T16" s="9"/>
      <c r="U16" s="9" t="s">
        <v>895</v>
      </c>
      <c r="V16" s="9"/>
      <c r="W16" s="9" t="s">
        <v>898</v>
      </c>
      <c r="X16" s="9" t="s">
        <v>900</v>
      </c>
      <c r="Y16" s="9" t="s">
        <v>879</v>
      </c>
      <c r="Z16" s="9"/>
      <c r="AA16" s="9"/>
      <c r="AB16" s="9"/>
      <c r="AC16" s="9"/>
      <c r="AD16" s="9"/>
      <c r="AE16" s="9"/>
      <c r="AF16" s="9"/>
      <c r="AG16" s="10"/>
    </row>
    <row r="17" spans="1:33" ht="13.2" x14ac:dyDescent="0.25">
      <c r="A17" s="7" t="s">
        <v>47</v>
      </c>
      <c r="B17" s="5"/>
      <c r="C17" s="5"/>
      <c r="D17" s="5"/>
      <c r="E17" s="5">
        <v>120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3322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f>SUM(B17:AF17)</f>
        <v>3442</v>
      </c>
    </row>
    <row r="18" spans="1:33" ht="13.2" x14ac:dyDescent="0.25">
      <c r="A18" s="8" t="s">
        <v>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 t="s">
        <v>405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10"/>
    </row>
    <row r="19" spans="1:33" ht="13.2" x14ac:dyDescent="0.25">
      <c r="A19" s="7" t="s">
        <v>786</v>
      </c>
      <c r="B19" s="5"/>
      <c r="C19" s="5"/>
      <c r="D19" s="5"/>
      <c r="E19" s="5"/>
      <c r="F19" s="5"/>
      <c r="G19" s="5"/>
      <c r="H19" s="5"/>
      <c r="I19" s="5"/>
      <c r="J19" s="5"/>
      <c r="K19" s="5">
        <v>900</v>
      </c>
      <c r="L19" s="5"/>
      <c r="M19" s="5"/>
      <c r="N19" s="5"/>
      <c r="O19" s="5"/>
      <c r="P19" s="5"/>
      <c r="Q19" s="5">
        <v>540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f>SUM(B19:AF19)</f>
        <v>1440</v>
      </c>
    </row>
    <row r="20" spans="1:33" ht="26.4" x14ac:dyDescent="0.25">
      <c r="A20" s="8" t="s">
        <v>5</v>
      </c>
      <c r="B20" s="9"/>
      <c r="C20" s="9"/>
      <c r="D20" s="9"/>
      <c r="E20" s="9"/>
      <c r="F20" s="9"/>
      <c r="G20" s="9"/>
      <c r="H20" s="9"/>
      <c r="I20" s="9"/>
      <c r="J20" s="9"/>
      <c r="K20" s="9" t="s">
        <v>881</v>
      </c>
      <c r="L20" s="9"/>
      <c r="M20" s="9"/>
      <c r="N20" s="9"/>
      <c r="O20" s="9"/>
      <c r="P20" s="9"/>
      <c r="Q20" s="9" t="s">
        <v>888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</row>
    <row r="21" spans="1:33" ht="13.2" x14ac:dyDescent="0.25">
      <c r="A21" s="7" t="s">
        <v>362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f>SUM(B21:AF21)</f>
        <v>0</v>
      </c>
    </row>
    <row r="22" spans="1:33" ht="13.2" x14ac:dyDescent="0.25">
      <c r="A22" s="8" t="s">
        <v>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</row>
    <row r="23" spans="1:33" ht="13.2" x14ac:dyDescent="0.25">
      <c r="A23" s="7" t="s">
        <v>107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100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f>SUM(B23:AF23)</f>
        <v>100</v>
      </c>
    </row>
    <row r="24" spans="1:33" ht="13.2" x14ac:dyDescent="0.25">
      <c r="A24" s="8" t="s">
        <v>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 t="s">
        <v>366</v>
      </c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</row>
    <row r="25" spans="1:33" ht="13.2" x14ac:dyDescent="0.25">
      <c r="A25" s="1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6"/>
    </row>
    <row r="26" spans="1:33" ht="13.2" x14ac:dyDescent="0.25">
      <c r="A26" s="12" t="s">
        <v>57</v>
      </c>
      <c r="B26" s="13">
        <f>SUM(B5+B7+B9+B11+B13+B15+B17+B19+B21+B23)</f>
        <v>200</v>
      </c>
      <c r="C26" s="13">
        <f>SUM(C5+C7+C9+C11+C13+C15+C17+C19+C21+C23)</f>
        <v>22</v>
      </c>
      <c r="D26" s="13">
        <f t="shared" ref="D26:AG26" si="0">SUM(D5+D7+D9+D11+D13+D15+D17+D19+D21+D23)</f>
        <v>36</v>
      </c>
      <c r="E26" s="13">
        <f t="shared" si="0"/>
        <v>636</v>
      </c>
      <c r="F26" s="13">
        <f t="shared" si="0"/>
        <v>620</v>
      </c>
      <c r="G26" s="13">
        <f t="shared" si="0"/>
        <v>2330</v>
      </c>
      <c r="H26" s="13">
        <f t="shared" si="0"/>
        <v>978</v>
      </c>
      <c r="I26" s="13">
        <f t="shared" si="0"/>
        <v>541</v>
      </c>
      <c r="J26" s="13">
        <f t="shared" si="0"/>
        <v>371</v>
      </c>
      <c r="K26" s="13">
        <f t="shared" si="0"/>
        <v>7911</v>
      </c>
      <c r="L26" s="13">
        <f t="shared" si="0"/>
        <v>410</v>
      </c>
      <c r="M26" s="13">
        <f t="shared" si="0"/>
        <v>270</v>
      </c>
      <c r="N26" s="13">
        <f t="shared" si="0"/>
        <v>224</v>
      </c>
      <c r="O26" s="13">
        <f t="shared" si="0"/>
        <v>100</v>
      </c>
      <c r="P26" s="13">
        <f t="shared" si="0"/>
        <v>920</v>
      </c>
      <c r="Q26" s="13">
        <f t="shared" si="0"/>
        <v>940</v>
      </c>
      <c r="R26" s="13">
        <f t="shared" si="0"/>
        <v>392</v>
      </c>
      <c r="S26" s="14">
        <f t="shared" si="0"/>
        <v>4052</v>
      </c>
      <c r="T26" s="13">
        <f t="shared" si="0"/>
        <v>480</v>
      </c>
      <c r="U26" s="13">
        <f t="shared" si="0"/>
        <v>376</v>
      </c>
      <c r="V26" s="13">
        <f t="shared" si="0"/>
        <v>227</v>
      </c>
      <c r="W26" s="13">
        <f t="shared" si="0"/>
        <v>639</v>
      </c>
      <c r="X26" s="13">
        <f t="shared" si="0"/>
        <v>763</v>
      </c>
      <c r="Y26" s="13">
        <f t="shared" si="0"/>
        <v>456</v>
      </c>
      <c r="Z26" s="13">
        <f t="shared" si="0"/>
        <v>266</v>
      </c>
      <c r="AA26" s="13">
        <f t="shared" si="0"/>
        <v>461</v>
      </c>
      <c r="AB26" s="13">
        <f t="shared" si="0"/>
        <v>455</v>
      </c>
      <c r="AC26" s="13">
        <f t="shared" si="0"/>
        <v>200</v>
      </c>
      <c r="AD26" s="13">
        <f t="shared" si="0"/>
        <v>420</v>
      </c>
      <c r="AE26" s="13">
        <f>SUM(AE5+AE7+AE9+AE11+AE13+AE15+AE17+AE19+AE21+AE23)</f>
        <v>307</v>
      </c>
      <c r="AF26" s="13">
        <f t="shared" si="0"/>
        <v>676</v>
      </c>
      <c r="AG26" s="15">
        <f t="shared" si="0"/>
        <v>26679</v>
      </c>
    </row>
  </sheetData>
  <mergeCells count="2">
    <mergeCell ref="A1:A2"/>
    <mergeCell ref="B1:AG2"/>
  </mergeCells>
  <pageMargins left="0" right="0" top="0" bottom="0" header="0" footer="0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825D-04D4-49A5-8EEA-60679AC91556}">
  <dimension ref="A1:B26"/>
  <sheetViews>
    <sheetView tabSelected="1" zoomScale="81" zoomScaleNormal="55" workbookViewId="0">
      <selection activeCell="B30" sqref="B30"/>
    </sheetView>
  </sheetViews>
  <sheetFormatPr defaultRowHeight="13.2" x14ac:dyDescent="0.25"/>
  <cols>
    <col min="1" max="1" width="30.109375" customWidth="1"/>
    <col min="2" max="2" width="18.44140625" customWidth="1"/>
  </cols>
  <sheetData>
    <row r="1" spans="1:2" x14ac:dyDescent="0.25">
      <c r="A1" s="22"/>
    </row>
    <row r="2" spans="1:2" x14ac:dyDescent="0.25">
      <c r="A2" s="23"/>
    </row>
    <row r="3" spans="1:2" x14ac:dyDescent="0.25">
      <c r="A3" s="1" t="s">
        <v>911</v>
      </c>
      <c r="B3" s="3">
        <v>1</v>
      </c>
    </row>
    <row r="4" spans="1:2" x14ac:dyDescent="0.25">
      <c r="A4" s="4" t="s">
        <v>3</v>
      </c>
      <c r="B4" s="6"/>
    </row>
    <row r="5" spans="1:2" x14ac:dyDescent="0.25">
      <c r="A5" s="7" t="s">
        <v>4</v>
      </c>
      <c r="B5" s="6"/>
    </row>
    <row r="6" spans="1:2" x14ac:dyDescent="0.25">
      <c r="A6" s="8" t="s">
        <v>5</v>
      </c>
      <c r="B6" s="10"/>
    </row>
    <row r="7" spans="1:2" x14ac:dyDescent="0.25">
      <c r="A7" s="7" t="s">
        <v>15</v>
      </c>
      <c r="B7" s="6"/>
    </row>
    <row r="8" spans="1:2" x14ac:dyDescent="0.25">
      <c r="A8" s="8" t="s">
        <v>5</v>
      </c>
      <c r="B8" s="10"/>
    </row>
    <row r="9" spans="1:2" x14ac:dyDescent="0.25">
      <c r="A9" s="7" t="s">
        <v>16</v>
      </c>
      <c r="B9" s="6"/>
    </row>
    <row r="10" spans="1:2" x14ac:dyDescent="0.25">
      <c r="A10" s="8" t="s">
        <v>5</v>
      </c>
      <c r="B10" s="10"/>
    </row>
    <row r="11" spans="1:2" x14ac:dyDescent="0.25">
      <c r="A11" s="7" t="s">
        <v>21</v>
      </c>
      <c r="B11" s="6"/>
    </row>
    <row r="12" spans="1:2" x14ac:dyDescent="0.25">
      <c r="A12" s="8" t="s">
        <v>5</v>
      </c>
      <c r="B12" s="10"/>
    </row>
    <row r="13" spans="1:2" x14ac:dyDescent="0.25">
      <c r="A13" s="7" t="s">
        <v>24</v>
      </c>
      <c r="B13" s="6"/>
    </row>
    <row r="14" spans="1:2" x14ac:dyDescent="0.25">
      <c r="A14" s="8" t="s">
        <v>5</v>
      </c>
      <c r="B14" s="10"/>
    </row>
    <row r="15" spans="1:2" x14ac:dyDescent="0.25">
      <c r="A15" s="7" t="s">
        <v>44</v>
      </c>
      <c r="B15" s="6"/>
    </row>
    <row r="16" spans="1:2" x14ac:dyDescent="0.25">
      <c r="A16" s="8" t="s">
        <v>5</v>
      </c>
      <c r="B16" s="10"/>
    </row>
    <row r="17" spans="1:2" x14ac:dyDescent="0.25">
      <c r="A17" s="7" t="s">
        <v>47</v>
      </c>
      <c r="B17" s="6"/>
    </row>
    <row r="18" spans="1:2" x14ac:dyDescent="0.25">
      <c r="A18" s="8" t="s">
        <v>5</v>
      </c>
      <c r="B18" s="10"/>
    </row>
    <row r="19" spans="1:2" x14ac:dyDescent="0.25">
      <c r="A19" s="7" t="s">
        <v>786</v>
      </c>
      <c r="B19" s="6"/>
    </row>
    <row r="20" spans="1:2" x14ac:dyDescent="0.25">
      <c r="A20" s="8" t="s">
        <v>5</v>
      </c>
      <c r="B20" s="10"/>
    </row>
    <row r="21" spans="1:2" x14ac:dyDescent="0.25">
      <c r="A21" s="7" t="s">
        <v>362</v>
      </c>
      <c r="B21" s="6"/>
    </row>
    <row r="22" spans="1:2" x14ac:dyDescent="0.25">
      <c r="A22" s="8" t="s">
        <v>5</v>
      </c>
      <c r="B22" s="10"/>
    </row>
    <row r="23" spans="1:2" x14ac:dyDescent="0.25">
      <c r="A23" s="7" t="s">
        <v>107</v>
      </c>
      <c r="B23" s="6"/>
    </row>
    <row r="24" spans="1:2" x14ac:dyDescent="0.25">
      <c r="A24" s="8" t="s">
        <v>5</v>
      </c>
      <c r="B24" s="10"/>
    </row>
    <row r="25" spans="1:2" x14ac:dyDescent="0.25">
      <c r="A25" s="11"/>
    </row>
    <row r="26" spans="1:2" x14ac:dyDescent="0.25">
      <c r="A26" s="12" t="s">
        <v>57</v>
      </c>
      <c r="B26" s="15">
        <f t="shared" ref="B26" si="0">SUM(B5+B7+B9+B11+B13+B15+B17+B19+B21+B23)</f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Feb2024</vt:lpstr>
      <vt:lpstr>March2024</vt:lpstr>
      <vt:lpstr>April 2024</vt:lpstr>
      <vt:lpstr>May 2024</vt:lpstr>
      <vt:lpstr>June 2024</vt:lpstr>
      <vt:lpstr>July 2024</vt:lpstr>
      <vt:lpstr>August 2024 </vt:lpstr>
      <vt:lpstr>Sep 2024</vt:lpstr>
      <vt:lpstr>Oct 2024 </vt:lpstr>
      <vt:lpstr>Nov 2024</vt:lpstr>
      <vt:lpstr>Dec 2024</vt:lpstr>
      <vt:lpstr>Jan 2025</vt:lpstr>
      <vt:lpstr>Feb 2025</vt:lpstr>
      <vt:lpstr>March 2025</vt:lpstr>
      <vt:lpstr>April 2025 </vt:lpstr>
      <vt:lpstr>May 2025  </vt:lpstr>
      <vt:lpstr>June 2025</vt:lpstr>
      <vt:lpstr>July 2025</vt:lpstr>
      <vt:lpstr>Aug 2025</vt:lpstr>
      <vt:lpstr>Sep 2025</vt:lpstr>
      <vt:lpstr>Oct 2025</vt:lpstr>
      <vt:lpstr>Nov 2025</vt:lpstr>
      <vt:lpstr>Dec 2025</vt:lpstr>
      <vt:lpstr>Au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harshit panchal</dc:creator>
  <cp:keywords/>
  <dc:description/>
  <cp:lastModifiedBy>harshit panchal</cp:lastModifiedBy>
  <cp:revision/>
  <cp:lastPrinted>2025-10-02T18:05:40Z</cp:lastPrinted>
  <dcterms:created xsi:type="dcterms:W3CDTF">2024-02-01T16:30:32Z</dcterms:created>
  <dcterms:modified xsi:type="dcterms:W3CDTF">2026-01-04T07:47:54Z</dcterms:modified>
  <cp:category/>
  <cp:contentStatus/>
</cp:coreProperties>
</file>